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8f0abce52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Form" sheetId="1" r:id="R7e59841c61644850"/>
    <x:sheet xmlns:r="http://schemas.openxmlformats.org/officeDocument/2006/relationships" name="Payment Register" sheetId="2" r:id="R044b0623916b4c52"/>
  </x:sheets>
</x:workbook>
</file>

<file path=xl/sharedStrings.xml><?xml version="1.0" encoding="utf-8"?>
<x:sst xmlns:x="http://schemas.openxmlformats.org/spreadsheetml/2006/main">
  <x:si>
    <x:t xml:space="preserve">MV MANUFACTURING LLC</x:t>
  </x:si>
  <x:si>
    <x:t xml:space="preserve">545 Aldo Ave, Ste 10 • Santa Clara, CA 95054</x:t>
  </x:si>
</x:sst>
</file>

<file path=xl/styles.xml><?xml version="1.0" encoding="utf-8"?>
<x:styleSheet xmlns:x="http://schemas.openxmlformats.org/spreadsheetml/2006/main">
  <x:numFmts count="3">
    <x:numFmt numFmtId="164" formatCode="mmm\ d\,\ yyyy"/>
    <x:numFmt numFmtId="165" formatCode="\$#,##0.00;[Red]\(\$#,##0.00\)"/>
    <x:numFmt numFmtId="200" formatCode="dd/mm/yyyy"/>
  </x:numFmts>
  <x:fonts count="8">
    <x:font>
      <x:sz val="11"/>
      <x:name val="Carlito"/>
    </x:font>
    <x:font>
      <x:sz val="10"/>
      <x:color rgb="FF233342"/>
      <x:name val="Arial"/>
    </x:font>
    <x:font>
      <x:b/>
      <x:sz val="16"/>
      <x:color rgb="FF123C60"/>
      <x:name val="Arial"/>
    </x:font>
    <x:font>
      <x:b/>
      <x:sz val="10"/>
      <x:color rgb="FFFFFFFF"/>
      <x:name val="Arial"/>
    </x:font>
    <x:font>
      <x:sz val="10"/>
      <x:color rgb="FF233342"/>
      <x:name val="Arial"/>
    </x:font>
    <x:font>
      <x:b/>
      <x:sz val="10"/>
      <x:color rgb="FFFFFFFF"/>
      <x:name val="Arial"/>
    </x:font>
    <x:font>
      <x:sz val="11"/>
      <x:name val="Arial"/>
    </x:font>
    <x:font>
      <x:sz val="12"/>
      <x:color rgb="FF23334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23C60"/>
      </x:patternFill>
    </x:fill>
    <x:fill>
      <x:patternFill patternType="solid">
        <x:fgColor rgb="FFEAF0F5"/>
      </x:patternFill>
    </x:fill>
    <x:fill>
      <x:patternFill patternType="solid">
        <x:fgColor rgb="FF123C60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bottom style="thin">
        <x:color rgb="FFDFE5EC"/>
      </x:bottom>
    </x:border>
    <x:border>
      <x:left style="thin">
        <x:color auto="1"/>
      </x:left>
      <x:bottom style="thin">
        <x:color rgb="FFDFE5EC"/>
      </x:bottom>
    </x:border>
    <x:border>
      <x:left style="thin">
        <x:color auto="1"/>
      </x:left>
      <x:right style="thin">
        <x:color auto="1"/>
      </x:right>
      <x:bottom style="thin">
        <x:color rgb="FFDFE5EC"/>
      </x:bottom>
    </x:border>
    <x:border>
      <x:bottom style="thin">
        <x:color rgb="FFDFE5EC"/>
      </x:bottom>
    </x:border>
    <x:border>
      <x:right style="thin">
        <x:color auto="1"/>
      </x:right>
      <x:top style="thin">
        <x:color rgb="FFDFE5EC"/>
      </x:top>
      <x:bottom style="thin">
        <x:color rgb="FFDFE5EC"/>
      </x:bottom>
    </x:border>
    <x:border>
      <x:left style="thin">
        <x:color auto="1"/>
      </x:left>
      <x:top style="thin">
        <x:color rgb="FFDFE5EC"/>
      </x:top>
      <x:bottom style="thin">
        <x:color rgb="FFDFE5EC"/>
      </x:bottom>
    </x:border>
    <x:border>
      <x:left style="thin">
        <x:color auto="1"/>
      </x:left>
      <x:right style="thin">
        <x:color auto="1"/>
      </x:right>
      <x:top style="thin">
        <x:color rgb="FFDFE5EC"/>
      </x:top>
      <x:bottom style="thin">
        <x:color rgb="FFDFE5EC"/>
      </x:bottom>
    </x:border>
    <x:border>
      <x:top style="thin">
        <x:color rgb="FFDFE5EC"/>
      </x:top>
      <x:bottom style="thin">
        <x:color rgb="FFDFE5EC"/>
      </x:bottom>
    </x:border>
    <x:border>
      <x:right style="thin">
        <x:color auto="1"/>
      </x:right>
      <x:top style="thin">
        <x:color rgb="FFDFE5EC"/>
      </x:top>
      <x:bottom style="thin">
        <x:color auto="1"/>
      </x:bottom>
    </x:border>
    <x:border>
      <x:left style="thin">
        <x:color auto="1"/>
      </x:left>
      <x:top style="thin">
        <x:color rgb="FFDFE5EC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rgb="FFDFE5EC"/>
      </x:top>
      <x:bottom style="thin">
        <x:color auto="1"/>
      </x:bottom>
    </x:border>
    <x:border>
      <x:top style="thin">
        <x:color rgb="FFDFE5EC"/>
      </x:top>
      <x:bottom style="thin">
        <x:color auto="1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1" fillId="0" borderId="0" xfId="0" applyFont="1" applyAlignment="1">
      <x:alignment vertical="center"/>
    </x:xf>
    <x:xf numFmtId="0" fontId="1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164" fontId="1" fillId="2" borderId="0" xfId="0" applyNumberFormat="1" applyFont="1" applyFill="1" applyAlignment="1">
      <x:alignment vertical="center"/>
    </x:xf>
    <x:xf numFmtId="164" fontId="1" fillId="0" borderId="0" xfId="0" applyNumberFormat="1" applyFont="1" applyAlignment="1">
      <x:alignment vertical="center"/>
    </x:xf>
    <x:xf numFmtId="165" fontId="1" fillId="2" borderId="0" xfId="0" applyNumberFormat="1" applyFont="1" applyFill="1" applyAlignment="1">
      <x:alignment vertical="center"/>
    </x:xf>
    <x:xf numFmtId="165" fontId="1" fillId="0" borderId="0" xfId="0" applyNumberFormat="1" applyFont="1" applyAlignment="1">
      <x:alignment vertical="center"/>
    </x:xf>
    <x:xf numFmtId="165" fontId="3" fillId="3" borderId="0" xfId="0" applyNumberFormat="1" applyFont="1" applyFill="1" applyAlignment="1">
      <x:alignment vertical="center"/>
    </x:xf>
    <x:xf numFmtId="2" fontId="3" fillId="3" borderId="0" xfId="0" applyNumberFormat="1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0" fillId="2" borderId="0" xfId="0" applyFill="1"/>
    <x:xf numFmtId="164" fontId="0" fillId="2" borderId="0" xfId="0" applyNumberFormat="1" applyFill="1"/>
    <x:xf numFmtId="164" fontId="0" fillId="0" borderId="0" xfId="0" applyNumberFormat="1"/>
    <x:xf numFmtId="165" fontId="0" fillId="2" borderId="0" xfId="0" applyNumberFormat="1" applyFill="1"/>
    <x:xf numFmtId="165" fontId="0" fillId="0" borderId="0" xfId="0" applyNumberFormat="1"/>
    <x:xf numFmtId="0" fontId="2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1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164" fontId="1" fillId="0" borderId="1" xfId="0" applyNumberFormat="1" applyFont="1" applyBorder="1" applyAlignment="1">
      <x:alignment vertical="center"/>
    </x:xf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vertical="center"/>
    </x:xf>
    <x:xf numFmtId="0" fontId="1" fillId="0" borderId="4" xfId="0" applyFont="1" applyBorder="1" applyAlignment="1">
      <x:alignment vertical="center"/>
    </x:xf>
    <x:xf numFmtId="164" fontId="1" fillId="0" borderId="5" xfId="0" applyNumberFormat="1" applyFont="1" applyBorder="1" applyAlignment="1">
      <x:alignment vertical="center"/>
    </x:xf>
    <x:xf numFmtId="0" fontId="1" fillId="0" borderId="6" xfId="0" applyFont="1" applyBorder="1" applyAlignment="1">
      <x:alignment vertical="center"/>
    </x:xf>
    <x:xf numFmtId="2" fontId="1" fillId="2" borderId="1" xfId="0" applyNumberFormat="1" applyFont="1" applyFill="1" applyBorder="1" applyAlignment="1">
      <x:alignment vertical="center"/>
    </x:xf>
    <x:xf numFmtId="2" fontId="1" fillId="2" borderId="7" xfId="0" applyNumberFormat="1" applyFont="1" applyFill="1" applyBorder="1" applyAlignment="1">
      <x:alignment vertical="center"/>
    </x:xf>
    <x:xf numFmtId="2" fontId="1" fillId="2" borderId="3" xfId="0" applyNumberFormat="1" applyFont="1" applyFill="1" applyBorder="1" applyAlignment="1">
      <x:alignment vertical="center"/>
    </x:xf>
    <x:xf numFmtId="2" fontId="1" fillId="2" borderId="8" xfId="0" applyNumberFormat="1" applyFont="1" applyFill="1" applyBorder="1" applyAlignment="1">
      <x:alignment vertical="center"/>
    </x:xf>
    <x:xf numFmtId="2" fontId="1" fillId="2" borderId="5" xfId="0" applyNumberFormat="1" applyFont="1" applyFill="1" applyBorder="1" applyAlignment="1">
      <x:alignment vertical="center"/>
    </x:xf>
    <x:xf numFmtId="2" fontId="1" fillId="2" borderId="9" xfId="0" applyNumberFormat="1" applyFont="1" applyFill="1" applyBorder="1" applyAlignment="1">
      <x:alignment vertical="center"/>
    </x:xf>
    <x:xf numFmtId="0" fontId="5" fillId="3" borderId="0" xfId="0" applyFont="1" applyFill="1" applyAlignment="1">
      <x:alignment vertical="center"/>
    </x:xf>
    <x:xf numFmtId="0" fontId="4" fillId="0" borderId="0" xfId="0" applyFont="1" applyAlignment="1">
      <x:alignment vertical="center"/>
    </x:xf>
    <x:xf numFmtId="2" fontId="1" fillId="4" borderId="2" xfId="0" applyNumberFormat="1" applyFont="1" applyFill="1" applyBorder="1" applyAlignment="1">
      <x:alignment vertical="center"/>
    </x:xf>
    <x:xf numFmtId="2" fontId="1" fillId="4" borderId="4" xfId="0" applyNumberFormat="1" applyFont="1" applyFill="1" applyBorder="1" applyAlignment="1">
      <x:alignment vertical="center"/>
    </x:xf>
    <x:xf numFmtId="2" fontId="1" fillId="4" borderId="6" xfId="0" applyNumberFormat="1" applyFont="1" applyFill="1" applyBorder="1" applyAlignment="1">
      <x:alignment vertical="center"/>
    </x:xf>
    <x:xf numFmtId="0" fontId="3" fillId="3" borderId="0" xfId="0" applyFont="1" applyFill="1" applyBorder="1" applyAlignment="1">
      <x:alignment vertical="center"/>
    </x:xf>
    <x:xf numFmtId="0" fontId="1" fillId="2" borderId="0" xfId="0" applyFont="1" applyFill="1" applyBorder="1" applyAlignment="1">
      <x:alignment vertical="center"/>
    </x:xf>
    <x:xf numFmtId="0" fontId="5" fillId="3" borderId="0" xfId="0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164" fontId="1" fillId="2" borderId="0" xfId="0" applyNumberFormat="1" applyFont="1" applyFill="1" applyBorder="1" applyAlignment="1">
      <x:alignment vertical="center"/>
    </x:xf>
    <x:xf numFmtId="164" fontId="1" fillId="0" borderId="0" xfId="0" applyNumberFormat="1" applyFont="1" applyFill="1" applyBorder="1" applyAlignment="1">
      <x:alignment vertical="center"/>
    </x:xf>
    <x:xf numFmtId="165" fontId="1" fillId="2" borderId="0" xfId="0" applyNumberFormat="1" applyFont="1" applyFill="1" applyBorder="1" applyAlignment="1">
      <x:alignment vertical="center"/>
    </x:xf>
    <x:xf numFmtId="165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164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164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164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" fontId="3" fillId="3" borderId="0" xfId="0" applyNumberFormat="1" applyFont="1" applyFill="1" applyBorder="1" applyAlignment="1">
      <x:alignment vertical="center"/>
    </x:xf>
    <x:xf numFmtId="165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164" fontId="6" fillId="2" borderId="0" xfId="0" applyNumberFormat="1" applyFont="1" applyFill="1" applyBorder="1"/>
    <x:xf numFmtId="164" fontId="6" fillId="0" borderId="0" xfId="0" applyNumberFormat="1" applyFont="1" applyFill="1" applyBorder="1"/>
    <x:xf numFmtId="165" fontId="6" fillId="2" borderId="0" xfId="0" applyNumberFormat="1" applyFont="1" applyFill="1" applyBorder="1"/>
    <x:xf numFmtId="165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164" fontId="6" fillId="2" borderId="0" xfId="0" applyNumberFormat="1" applyFont="1" applyFill="1" applyBorder="1" applyAlignment="1">
      <x:alignment vertical="center"/>
    </x:xf>
    <x:xf numFmtId="164" fontId="6" fillId="0" borderId="0" xfId="0" applyNumberFormat="1" applyFont="1" applyFill="1" applyBorder="1" applyAlignment="1">
      <x:alignment vertical="center"/>
    </x:xf>
    <x:xf numFmtId="165" fontId="6" fillId="2" borderId="0" xfId="0" applyNumberFormat="1" applyFont="1" applyFill="1" applyBorder="1" applyAlignment="1">
      <x:alignment vertical="center"/>
    </x:xf>
    <x:xf numFmtId="165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164" fontId="1" fillId="2" borderId="0" xfId="0" applyNumberFormat="1" applyFont="1" applyFill="1" applyBorder="1" applyAlignment="1">
      <x:alignment vertical="center" wrapText="1"/>
    </x:xf>
    <x:xf numFmtId="164" fontId="1" fillId="0" borderId="0" xfId="0" applyNumberFormat="1" applyFont="1" applyFill="1" applyBorder="1" applyAlignment="1">
      <x:alignment vertical="center" wrapText="1"/>
    </x:xf>
    <x:xf numFmtId="165" fontId="1" fillId="2" borderId="0" xfId="0" applyNumberFormat="1" applyFont="1" applyFill="1" applyBorder="1" applyAlignment="1">
      <x:alignment vertical="center" wrapText="1"/>
    </x:xf>
    <x:xf numFmtId="165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164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" fontId="1" fillId="2" borderId="10" xfId="0" applyNumberFormat="1" applyFont="1" applyFill="1" applyBorder="1" applyAlignment="1">
      <x:alignment vertical="center"/>
    </x:xf>
    <x:xf numFmtId="2" fontId="1" fillId="2" borderId="12" xfId="0" applyNumberFormat="1" applyFont="1" applyFill="1" applyBorder="1" applyAlignment="1">
      <x:alignment vertical="center"/>
    </x:xf>
    <x:xf numFmtId="2" fontId="1" fillId="4" borderId="11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164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" fontId="1" fillId="2" borderId="14" xfId="0" applyNumberFormat="1" applyFont="1" applyFill="1" applyBorder="1" applyAlignment="1">
      <x:alignment vertical="center"/>
    </x:xf>
    <x:xf numFmtId="2" fontId="1" fillId="2" borderId="16" xfId="0" applyNumberFormat="1" applyFont="1" applyFill="1" applyBorder="1" applyAlignment="1">
      <x:alignment vertical="center"/>
    </x:xf>
    <x:xf numFmtId="2" fontId="1" fillId="4" borderId="15" xfId="0" applyNumberFormat="1" applyFont="1" applyFill="1" applyBorder="1" applyAlignment="1">
      <x:alignment vertical="center"/>
    </x:xf>
    <x:xf numFmtId="0" fontId="1" fillId="2" borderId="17" xfId="0" applyNumberFormat="1" applyFont="1" applyFill="1" applyBorder="1" applyAlignment="1">
      <x:alignment vertical="center"/>
    </x:xf>
    <x:xf numFmtId="0" fontId="6" fillId="0" borderId="14" xfId="0" applyNumberFormat="1" applyFont="1" applyFill="1" applyBorder="1" applyAlignment="1">
      <x:alignment vertical="center"/>
    </x:xf>
    <x:xf numFmtId="164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2" fontId="1" fillId="2" borderId="18" xfId="0" applyNumberFormat="1" applyFont="1" applyFill="1" applyBorder="1" applyAlignment="1">
      <x:alignment vertical="center"/>
    </x:xf>
    <x:xf numFmtId="2" fontId="1" fillId="2" borderId="20" xfId="0" applyNumberFormat="1" applyFont="1" applyFill="1" applyBorder="1" applyAlignment="1">
      <x:alignment vertical="center"/>
    </x:xf>
    <x:xf numFmtId="2" fontId="1" fillId="4" borderId="19" xfId="0" applyNumberFormat="1" applyFont="1" applyFill="1" applyBorder="1" applyAlignment="1">
      <x:alignment vertical="center"/>
    </x:xf>
    <x:xf numFmtId="0" fontId="1" fillId="2" borderId="21" xfId="0" applyNumberFormat="1" applyFont="1" applyFill="1" applyBorder="1" applyAlignment="1">
      <x:alignment vertical="center"/>
    </x:xf>
    <x:xf numFmtId="0" fontId="6" fillId="0" borderId="18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200" fontId="1" fillId="0" borderId="18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6" borderId="13" xfId="0" applyNumberFormat="1" applyFont="1" applyFill="1" applyBorder="1" applyAlignment="1">
      <x:alignment vertical="center"/>
    </x:xf>
    <x:xf numFmtId="0" fontId="6" fillId="6" borderId="10" xfId="0" applyNumberFormat="1" applyFont="1" applyFill="1" applyBorder="1" applyAlignment="1">
      <x:alignment vertical="center"/>
    </x:xf>
    <x:xf numFmtId="0" fontId="1" fillId="6" borderId="17" xfId="0" applyNumberFormat="1" applyFont="1" applyFill="1" applyBorder="1" applyAlignment="1">
      <x:alignment vertical="center"/>
    </x:xf>
    <x:xf numFmtId="0" fontId="6" fillId="6" borderId="14" xfId="0" applyNumberFormat="1" applyFont="1" applyFill="1" applyBorder="1" applyAlignment="1">
      <x:alignment vertical="center"/>
    </x:xf>
    <x:xf numFmtId="0" fontId="1" fillId="6" borderId="21" xfId="0" applyNumberFormat="1" applyFont="1" applyFill="1" applyBorder="1" applyAlignment="1">
      <x:alignment vertical="center"/>
    </x:xf>
    <x:xf numFmtId="0" fontId="6" fillId="6" borderId="18" xfId="0" applyNumberFormat="1" applyFont="1" applyFill="1" applyBorder="1" applyAlignment="1">
      <x:alignment vertical="center"/>
    </x:xf>
  </x:cellXfs>
  <x:cellStyles count="1">
    <x:cellStyle name="Normal" xfId="0"/>
  </x:cellStyles>
  <x:dxfs count="13">
    <x:dxf>
      <x:fill>
        <x:patternFill>
          <x:bgColor rgb="FFFFF2CC"/>
        </x:patternFill>
      </x:fill>
    </x:dxf>
    <x:dxf>
      <x:fill>
        <x:patternFill>
          <x:bgColor rgb="FFFFDAD6"/>
        </x:patternFill>
      </x:fill>
    </x:dxf>
    <x:dxf>
      <x:fill>
        <x:patternFill>
          <x:bgColor rgb="FFFFDAD6"/>
        </x:patternFill>
      </x:fill>
    </x:dxf>
    <x:dxf>
      <x:font>
        <x:u val="none"/>
        <x:sz val="10"/>
        <x:color rgb="FF233342"/>
        <x:name val="Arial"/>
        <x:scheme val="none"/>
      </x:font>
      <x:fill>
        <x:patternFill>
          <x:bgColor indexed="64"/>
        </x:patternFill>
      </x:fill>
    </x:dxf>
    <x:dxf>
      <x:font>
        <x:b/>
        <x:u val="none"/>
        <x:sz val="10"/>
        <x:color rgb="FFFFFFFF"/>
        <x:name val="Arial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</x:dxf>
    <x:dxf>
      <x:font>
        <x:u val="none"/>
        <x:sz val="10"/>
        <x:color rgb="FF233342"/>
        <x:name val="Arial"/>
        <x:scheme val="none"/>
      </x:font>
      <x:numFmt numFmtId="164" formatCode="mmm\ d\,\ yyyy"/>
    </x:dxf>
    <x:dxf>
      <x:fill>
        <x:patternFill>
          <x:bgColor rgb="FFFFDA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3b4dc7fc94224" /><Relationship Type="http://schemas.openxmlformats.org/officeDocument/2006/relationships/theme" Target="/xl/theme/theme1.xml" Id="R5d8ae902ae6d43e8" /><Relationship Type="http://schemas.openxmlformats.org/officeDocument/2006/relationships/sharedStrings" Target="/xl/sharedStrings.xml" Id="R7cffcb3620a748fa" /><Relationship Type="http://schemas.openxmlformats.org/officeDocument/2006/relationships/worksheet" Target="/xl/worksheets/sheet1.xml" Id="R7e59841c61644850" /><Relationship Type="http://schemas.openxmlformats.org/officeDocument/2006/relationships/worksheet" Target="/xl/worksheets/sheet2.xml" Id="R044b0623916b4c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182fa9635d14c1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c209206968c49b9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82fa9635d14c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209206968c49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aymentRegister" displayName="PaymentRegister" ref="A11:N111" totalsRowShown="0">
  <x:tableColumns count="14">
    <x:tableColumn id="1" name="Employee name"/>
    <x:tableColumn id="2" name="Period start"/>
    <x:tableColumn id="3" name="Period end"/>
    <x:tableColumn id="4" name="Gross pay"/>
    <x:tableColumn id="5" name="Taxes / deductions"/>
    <x:tableColumn id="6" name="Reimbursements"/>
    <x:tableColumn id="7" name="Net payment"/>
    <x:tableColumn id="8" name="Amount paid"/>
    <x:tableColumn id="9" name="Balance due"/>
    <x:tableColumn id="10" name="Status"/>
    <x:tableColumn id="11" name="Paid on"/>
    <x:tableColumn id="12" name="Method"/>
    <x:tableColumn id="13" name="Reference #"/>
    <x:tableColumn id="14" name="Notes / employe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e12ef8bcd741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05013fcadc94d2b" /><Relationship Type="http://schemas.openxmlformats.org/officeDocument/2006/relationships/table" Target="/xl/tables/table1.xml" Id="R837c1a4a29384c75" /></Relationships>
</file>

<file path=xl/worksheets/sheet1.xml><?xml version="1.0" encoding="utf-8"?>
<x:worksheet xmlns:x="http://schemas.openxmlformats.org/spreadsheetml/2006/main">
  <x:sheetPr>
    <x:tabColor rgb="FF123C60"/>
  </x:sheetPr>
  <x:sheetViews>
    <x:sheetView showGridLines="0" workbookViewId="0"/>
  </x:sheetViews>
  <x:sheetFormatPr defaultRowHeight="13.5"/>
  <x:cols>
    <x:col min="1" max="1" width="19" hidden="0" customWidth="1"/>
    <x:col min="2" max="6" width="14" customWidth="1"/>
    <x:col min="7" max="8" width="19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</x:cols>
  <x:sheetData>
    <x:row r="1" ht="23" customHeight="1">
      <x:c r="A1" s="40"/>
      <x:c r="B1" s="40"/>
      <x:c r="C1" s="40"/>
      <x:c r="D1" s="40"/>
      <x:c r="E1" s="40"/>
      <x:c r="F1" s="40"/>
      <x:c r="G1" s="40"/>
      <x:c r="H1" s="40"/>
    </x:row>
    <x:row r="2" ht="23" customHeight="1">
      <x:c r="A2" s="40"/>
      <x:c r="B2" s="40"/>
      <x:c r="C2" s="41" t="s">
        <x:v>0</x:v>
      </x:c>
      <x:c r="D2" s="40"/>
      <x:c r="E2" s="40"/>
      <x:c r="F2" s="40"/>
      <x:c r="G2" s="40"/>
      <x:c r="H2" s="40"/>
    </x:row>
    <x:row r="3" ht="23" customHeight="1">
      <x:c r="A3" s="40"/>
      <x:c r="B3" s="40"/>
      <x:c r="C3" s="97" t="str">
        <x:v>PHIẾU THANH TOÁN LƯƠNG NHÂN VIÊN</x:v>
      </x:c>
      <x:c r="D3" s="40"/>
      <x:c r="E3" s="40"/>
      <x:c r="F3" s="40"/>
      <x:c r="G3" s="40"/>
      <x:c r="H3" s="40"/>
    </x:row>
    <x:row r="4" ht="23" customHeight="1">
      <x:c r="A4" s="40"/>
      <x:c r="B4" s="40"/>
      <x:c r="C4" s="40" t="s">
        <x:v>1</x:v>
      </x:c>
      <x:c r="D4" s="40"/>
      <x:c r="E4" s="40"/>
      <x:c r="F4" s="40"/>
      <x:c r="G4" s="40"/>
      <x:c r="H4" s="40"/>
    </x:row>
    <x:row r="5" ht="23" customHeight="1">
      <x:c r="A5" s="40"/>
      <x:c r="B5" s="40"/>
      <x:c r="C5" s="40"/>
      <x:c r="D5" s="40"/>
      <x:c r="E5" s="40"/>
      <x:c r="F5" s="40"/>
      <x:c r="G5" s="40"/>
      <x:c r="H5" s="40"/>
    </x:row>
    <x:row r="6" ht="34" customHeight="1">
      <x:c r="A6" s="69" t="str">
        <x:v>Họ tên nhân viên</x:v>
      </x:c>
      <x:c r="B6" s="70"/>
      <x:c r="C6" s="70"/>
      <x:c r="D6" s="70"/>
      <x:c r="E6" s="69" t="str">
        <x:v>Mã nhân viên</x:v>
      </x:c>
      <x:c r="F6" s="70"/>
      <x:c r="G6" s="70"/>
      <x:c r="H6" s="70"/>
    </x:row>
    <x:row r="7" ht="34" customHeight="1">
      <x:c r="A7" s="69" t="str">
        <x:v>Ngày bắt đầu</x:v>
      </x:c>
      <x:c r="B7" s="98"/>
      <x:c r="C7" s="69" t="str">
        <x:v>Ngày kết thúc</x:v>
      </x:c>
      <x:c r="D7" s="99" t="str">
        <x:f>IF(B7="","",B7+13)</x:f>
      </x:c>
      <x:c r="E7" s="69" t="str">
        <x:v>Ngày trả lương</x:v>
      </x:c>
      <x:c r="F7" s="98"/>
      <x:c r="G7" s="69" t="str">
        <x:v>Bộ phận / công việc</x:v>
      </x:c>
      <x:c r="H7" s="70"/>
    </x:row>
    <x:row r="8" ht="34" customHeight="1">
      <x:c r="A8" s="69" t="str">
        <x:v>Lương giờ (USD)</x:v>
      </x:c>
      <x:c r="B8" s="73"/>
      <x:c r="C8" s="69" t="str">
        <x:v>Đơn giá tăng ca 1,5×</x:v>
      </x:c>
      <x:c r="D8" s="74" t="str">
        <x:f>IF(B8="","",B8*1.5)</x:f>
      </x:c>
      <x:c r="E8" s="69" t="str">
        <x:v>Đơn giá tăng ca 2×</x:v>
      </x:c>
      <x:c r="F8" s="74" t="str">
        <x:f>IF(B8="","",B8*2)</x:f>
      </x:c>
      <x:c r="G8" s="69" t="str">
        <x:v>Ngày đầu tuần làm việc</x:v>
      </x:c>
      <x:c r="H8" s="70"/>
    </x:row>
    <x:row r="9" ht="23" customHeight="1">
      <x:c r="A9" s="40"/>
      <x:c r="B9" s="40"/>
      <x:c r="C9" s="40"/>
      <x:c r="D9" s="40"/>
      <x:c r="E9" s="40"/>
      <x:c r="F9" s="40"/>
      <x:c r="G9" s="40"/>
      <x:c r="H9" s="40"/>
    </x:row>
    <x:row r="10" ht="30" customHeight="1">
      <x:c r="A10" s="69" t="str">
        <x:v>Nhập giờ đã duyệt dạng thập phân (7,5 = 7 giờ 30 phút), không tính giờ nghỉ không lương.</x:v>
      </x:c>
      <x:c r="B10" s="69"/>
      <x:c r="C10" s="69"/>
      <x:c r="D10" s="69"/>
      <x:c r="E10" s="69"/>
      <x:c r="F10" s="69"/>
      <x:c r="G10" s="69"/>
      <x:c r="H10" s="69"/>
    </x:row>
    <x:row r="11" ht="34" customHeight="1">
      <x:c r="A11" s="58" t="str">
        <x:v>Ngày</x:v>
      </x:c>
      <x:c r="B11" s="58" t="str">
        <x:v>Thứ</x:v>
      </x:c>
      <x:c r="C11" s="58" t="str">
        <x:v>Giờ thường</x:v>
      </x:c>
      <x:c r="D11" s="58" t="str">
        <x:v>Giờ tăng ca 1,5×</x:v>
      </x:c>
      <x:c r="E11" s="58" t="str">
        <x:v>Giờ tăng ca 2×</x:v>
      </x:c>
      <x:c r="F11" s="58" t="str">
        <x:v>Tổng giờ</x:v>
      </x:c>
      <x:c r="G11" s="107" t="str">
        <x:v>Ghi chú công việc</x:v>
      </x:c>
      <x:c r="H11" s="108"/>
    </x:row>
    <x:row r="12" ht="25" customHeight="1">
      <x:c r="A12" s="100" t="str">
        <x:f>IF($B$7="","",$B$7+0)</x:f>
      </x:c>
      <x:c r="B12" s="77" t="str">
        <x:f t="shared" ref="B12:B25" si="0">IF(A12="","",CHOOSE(WEEKDAY(A12),"Chủ nhật","Thứ hai","Thứ ba","Thứ tư","Thứ năm","Thứ sáu","Thứ bảy"))</x:f>
      </x:c>
      <x:c r="C12" s="78"/>
      <x:c r="D12" s="79"/>
      <x:c r="E12" s="79"/>
      <x:c r="F12" s="80" t="str">
        <x:f t="shared" ref="F12:F25" si="1">IF(COUNT(C12:E12)=0,"",SUM(C12:E12))</x:f>
      </x:c>
      <x:c r="G12" s="109"/>
      <x:c r="H12" s="110"/>
    </x:row>
    <x:row r="13" ht="25" customHeight="1">
      <x:c r="A13" s="101" t="str">
        <x:f>IF($B$7="","",$B$7+1)</x:f>
      </x:c>
      <x:c r="B13" s="84" t="str">
        <x:f t="shared" si="0">IF(A13="","",CHOOSE(WEEKDAY(A13),"Chủ nhật","Thứ hai","Thứ ba","Thứ tư","Thứ năm","Thứ sáu","Thứ bảy"))</x:f>
      </x:c>
      <x:c r="C13" s="85"/>
      <x:c r="D13" s="86"/>
      <x:c r="E13" s="86"/>
      <x:c r="F13" s="87" t="str">
        <x:f t="shared" si="1"/>
      </x:c>
      <x:c r="G13" s="111"/>
      <x:c r="H13" s="112"/>
    </x:row>
    <x:row r="14" ht="25" customHeight="1">
      <x:c r="A14" s="101" t="str">
        <x:f>IF($B$7="","",$B$7+2)</x:f>
      </x:c>
      <x:c r="B14" s="84" t="str">
        <x:f t="shared" si="0">IF(A14="","",CHOOSE(WEEKDAY(A14),"Chủ nhật","Thứ hai","Thứ ba","Thứ tư","Thứ năm","Thứ sáu","Thứ bảy"))</x:f>
      </x:c>
      <x:c r="C14" s="85"/>
      <x:c r="D14" s="86"/>
      <x:c r="E14" s="86"/>
      <x:c r="F14" s="87" t="str">
        <x:f t="shared" si="1"/>
      </x:c>
      <x:c r="G14" s="111"/>
      <x:c r="H14" s="112"/>
    </x:row>
    <x:row r="15" ht="25" customHeight="1">
      <x:c r="A15" s="101" t="str">
        <x:f>IF($B$7="","",$B$7+3)</x:f>
      </x:c>
      <x:c r="B15" s="84" t="str">
        <x:f t="shared" si="0">IF(A15="","",CHOOSE(WEEKDAY(A15),"Chủ nhật","Thứ hai","Thứ ba","Thứ tư","Thứ năm","Thứ sáu","Thứ bảy"))</x:f>
      </x:c>
      <x:c r="C15" s="85"/>
      <x:c r="D15" s="86"/>
      <x:c r="E15" s="86"/>
      <x:c r="F15" s="87" t="str">
        <x:f t="shared" si="1"/>
      </x:c>
      <x:c r="G15" s="111"/>
      <x:c r="H15" s="112"/>
    </x:row>
    <x:row r="16" ht="25" customHeight="1">
      <x:c r="A16" s="101" t="str">
        <x:f>IF($B$7="","",$B$7+4)</x:f>
      </x:c>
      <x:c r="B16" s="84" t="str">
        <x:f t="shared" si="0">IF(A16="","",CHOOSE(WEEKDAY(A16),"Chủ nhật","Thứ hai","Thứ ba","Thứ tư","Thứ năm","Thứ sáu","Thứ bảy"))</x:f>
      </x:c>
      <x:c r="C16" s="85"/>
      <x:c r="D16" s="86"/>
      <x:c r="E16" s="86"/>
      <x:c r="F16" s="87" t="str">
        <x:f t="shared" si="1"/>
      </x:c>
      <x:c r="G16" s="111"/>
      <x:c r="H16" s="112"/>
    </x:row>
    <x:row r="17" ht="25" customHeight="1">
      <x:c r="A17" s="101" t="str">
        <x:f>IF($B$7="","",$B$7+5)</x:f>
      </x:c>
      <x:c r="B17" s="84" t="str">
        <x:f t="shared" si="0">IF(A17="","",CHOOSE(WEEKDAY(A17),"Chủ nhật","Thứ hai","Thứ ba","Thứ tư","Thứ năm","Thứ sáu","Thứ bảy"))</x:f>
      </x:c>
      <x:c r="C17" s="85"/>
      <x:c r="D17" s="86"/>
      <x:c r="E17" s="86"/>
      <x:c r="F17" s="87" t="str">
        <x:f t="shared" si="1"/>
      </x:c>
      <x:c r="G17" s="111"/>
      <x:c r="H17" s="112"/>
    </x:row>
    <x:row r="18" ht="25" customHeight="1">
      <x:c r="A18" s="101" t="str">
        <x:f>IF($B$7="","",$B$7+6)</x:f>
      </x:c>
      <x:c r="B18" s="84" t="str">
        <x:f t="shared" si="0">IF(A18="","",CHOOSE(WEEKDAY(A18),"Chủ nhật","Thứ hai","Thứ ba","Thứ tư","Thứ năm","Thứ sáu","Thứ bảy"))</x:f>
      </x:c>
      <x:c r="C18" s="85"/>
      <x:c r="D18" s="86"/>
      <x:c r="E18" s="86"/>
      <x:c r="F18" s="87" t="str">
        <x:f t="shared" si="1"/>
      </x:c>
      <x:c r="G18" s="111"/>
      <x:c r="H18" s="112"/>
    </x:row>
    <x:row r="19" ht="25" customHeight="1">
      <x:c r="A19" s="101" t="str">
        <x:f>IF($B$7="","",$B$7+7)</x:f>
      </x:c>
      <x:c r="B19" s="84" t="str">
        <x:f t="shared" si="0">IF(A19="","",CHOOSE(WEEKDAY(A19),"Chủ nhật","Thứ hai","Thứ ba","Thứ tư","Thứ năm","Thứ sáu","Thứ bảy"))</x:f>
      </x:c>
      <x:c r="C19" s="85"/>
      <x:c r="D19" s="86"/>
      <x:c r="E19" s="86"/>
      <x:c r="F19" s="87" t="str">
        <x:f t="shared" si="1"/>
      </x:c>
      <x:c r="G19" s="111"/>
      <x:c r="H19" s="112"/>
    </x:row>
    <x:row r="20" ht="25" customHeight="1">
      <x:c r="A20" s="101" t="str">
        <x:f>IF($B$7="","",$B$7+8)</x:f>
      </x:c>
      <x:c r="B20" s="84" t="str">
        <x:f t="shared" si="0">IF(A20="","",CHOOSE(WEEKDAY(A20),"Chủ nhật","Thứ hai","Thứ ba","Thứ tư","Thứ năm","Thứ sáu","Thứ bảy"))</x:f>
      </x:c>
      <x:c r="C20" s="85"/>
      <x:c r="D20" s="86"/>
      <x:c r="E20" s="86"/>
      <x:c r="F20" s="87" t="str">
        <x:f t="shared" si="1"/>
      </x:c>
      <x:c r="G20" s="111"/>
      <x:c r="H20" s="112"/>
    </x:row>
    <x:row r="21" ht="25" customHeight="1">
      <x:c r="A21" s="101" t="str">
        <x:f>IF($B$7="","",$B$7+9)</x:f>
      </x:c>
      <x:c r="B21" s="84" t="str">
        <x:f t="shared" si="0">IF(A21="","",CHOOSE(WEEKDAY(A21),"Chủ nhật","Thứ hai","Thứ ba","Thứ tư","Thứ năm","Thứ sáu","Thứ bảy"))</x:f>
      </x:c>
      <x:c r="C21" s="85"/>
      <x:c r="D21" s="86"/>
      <x:c r="E21" s="86"/>
      <x:c r="F21" s="87" t="str">
        <x:f t="shared" si="1"/>
      </x:c>
      <x:c r="G21" s="111"/>
      <x:c r="H21" s="112"/>
    </x:row>
    <x:row r="22" ht="25" customHeight="1">
      <x:c r="A22" s="101" t="str">
        <x:f>IF($B$7="","",$B$7+10)</x:f>
      </x:c>
      <x:c r="B22" s="84" t="str">
        <x:f t="shared" si="0">IF(A22="","",CHOOSE(WEEKDAY(A22),"Chủ nhật","Thứ hai","Thứ ba","Thứ tư","Thứ năm","Thứ sáu","Thứ bảy"))</x:f>
      </x:c>
      <x:c r="C22" s="85"/>
      <x:c r="D22" s="86"/>
      <x:c r="E22" s="86"/>
      <x:c r="F22" s="87" t="str">
        <x:f t="shared" si="1"/>
      </x:c>
      <x:c r="G22" s="111"/>
      <x:c r="H22" s="112"/>
    </x:row>
    <x:row r="23" ht="25" customHeight="1">
      <x:c r="A23" s="101" t="str">
        <x:f>IF($B$7="","",$B$7+11)</x:f>
      </x:c>
      <x:c r="B23" s="84" t="str">
        <x:f t="shared" si="0">IF(A23="","",CHOOSE(WEEKDAY(A23),"Chủ nhật","Thứ hai","Thứ ba","Thứ tư","Thứ năm","Thứ sáu","Thứ bảy"))</x:f>
      </x:c>
      <x:c r="C23" s="85"/>
      <x:c r="D23" s="86"/>
      <x:c r="E23" s="86"/>
      <x:c r="F23" s="87" t="str">
        <x:f t="shared" si="1"/>
      </x:c>
      <x:c r="G23" s="111"/>
      <x:c r="H23" s="112"/>
    </x:row>
    <x:row r="24" ht="25" customHeight="1">
      <x:c r="A24" s="101" t="str">
        <x:f>IF($B$7="","",$B$7+12)</x:f>
      </x:c>
      <x:c r="B24" s="84" t="str">
        <x:f t="shared" si="0">IF(A24="","",CHOOSE(WEEKDAY(A24),"Chủ nhật","Thứ hai","Thứ ba","Thứ tư","Thứ năm","Thứ sáu","Thứ bảy"))</x:f>
      </x:c>
      <x:c r="C24" s="85"/>
      <x:c r="D24" s="86"/>
      <x:c r="E24" s="86"/>
      <x:c r="F24" s="87" t="str">
        <x:f t="shared" si="1"/>
      </x:c>
      <x:c r="G24" s="111"/>
      <x:c r="H24" s="112"/>
    </x:row>
    <x:row r="25" ht="25" customHeight="1">
      <x:c r="A25" s="102" t="str">
        <x:f>IF($B$7="","",$B$7+13)</x:f>
      </x:c>
      <x:c r="B25" s="91" t="str">
        <x:f t="shared" si="0">IF(A25="","",CHOOSE(WEEKDAY(A25),"Chủ nhật","Thứ hai","Thứ ba","Thứ tư","Thứ năm","Thứ sáu","Thứ bảy"))</x:f>
      </x:c>
      <x:c r="C25" s="92"/>
      <x:c r="D25" s="93"/>
      <x:c r="E25" s="93"/>
      <x:c r="F25" s="94" t="str">
        <x:f t="shared" si="1"/>
      </x:c>
      <x:c r="G25" s="113"/>
      <x:c r="H25" s="114"/>
    </x:row>
    <x:row r="26" ht="23" customHeight="1">
      <x:c r="A26" s="47" t="str">
        <x:v>TỔNG CỘNG</x:v>
      </x:c>
      <x:c r="B26" s="47"/>
      <x:c r="C26" s="55" t="str">
        <x:f>IF(COUNT(C12:E25)=0,"",SUM(C12:C25))</x:f>
      </x:c>
      <x:c r="D26" s="55" t="str">
        <x:f>IF(COUNT(C12:E25)=0,"",SUM(D12:D25))</x:f>
      </x:c>
      <x:c r="E26" s="55" t="str">
        <x:f>IF(COUNT(C12:E25)=0,"",SUM(E12:E25))</x:f>
      </x:c>
      <x:c r="F26" s="55" t="str">
        <x:f>IF(COUNT(C12:E25)=0,"",SUM(F12:F25))</x:f>
      </x:c>
      <x:c r="G26" s="47"/>
      <x:c r="H26" s="57"/>
    </x:row>
    <x:row r="27" ht="23" customHeight="1">
      <x:c r="A27" s="40"/>
      <x:c r="B27" s="40"/>
      <x:c r="C27" s="40"/>
      <x:c r="D27" s="40"/>
      <x:c r="E27" s="40"/>
      <x:c r="F27" s="40"/>
      <x:c r="G27" s="40"/>
      <x:c r="H27" s="40"/>
    </x:row>
    <x:row r="28" ht="34" customHeight="1">
      <x:c r="A28" s="69" t="str">
        <x:v>Số ngày làm việc</x:v>
      </x:c>
      <x:c r="B28" s="69" t="str">
        <x:f>IF(COUNT(C12:E25)=0,"",COUNTIF(F12:F25,"&gt;0"))</x:f>
      </x:c>
      <x:c r="C28" s="69" t="str">
        <x:v>Lương giờ thường</x:v>
      </x:c>
      <x:c r="D28" s="74" t="str">
        <x:f>IF(OR(B8="",C26=""),"",ROUND(C26*B8,2))</x:f>
      </x:c>
      <x:c r="E28" s="69" t="str">
        <x:v>Lương tăng ca 1,5×</x:v>
      </x:c>
      <x:c r="F28" s="74" t="str">
        <x:f>IF(OR(B8="",D26=""),"",ROUND(D26*D8,2))</x:f>
      </x:c>
      <x:c r="G28" s="69" t="str">
        <x:v>Lương tăng ca 2×</x:v>
      </x:c>
      <x:c r="H28" s="74" t="str">
        <x:f>IF(OR(B8="",E26=""),"",ROUND(E26*F8,2))</x:f>
      </x:c>
    </x:row>
    <x:row r="29" ht="23" customHeight="1">
      <x:c r="A29" s="40"/>
      <x:c r="B29" s="40"/>
      <x:c r="C29" s="40"/>
      <x:c r="D29" s="40"/>
      <x:c r="E29" s="40"/>
      <x:c r="F29" s="40"/>
      <x:c r="G29" s="40"/>
      <x:c r="H29" s="40"/>
    </x:row>
    <x:row r="30" ht="30" customHeight="1">
      <x:c r="A30" s="40" t="str">
        <x:v>Thu nhập khác đã duyệt (USD)</x:v>
      </x:c>
      <x:c r="B30" s="40"/>
      <x:c r="C30" s="40"/>
      <x:c r="D30" s="45"/>
      <x:c r="E30" s="69" t="str">
        <x:v>Gồm phụ cấp / nghỉ hưởng lương đã được duyệt.</x:v>
      </x:c>
      <x:c r="F30" s="69"/>
      <x:c r="G30" s="69"/>
      <x:c r="H30" s="69"/>
    </x:row>
    <x:row r="31" ht="23" customHeight="1">
      <x:c r="A31" s="40" t="str">
        <x:v>TỔNG THU NHẬP</x:v>
      </x:c>
      <x:c r="B31" s="40"/>
      <x:c r="C31" s="40"/>
      <x:c r="D31" s="46" t="str">
        <x:f>IF(D28="","",SUM(D28,F28,H28,D30))</x:f>
      </x:c>
      <x:c r="E31" s="40"/>
      <x:c r="F31" s="40"/>
      <x:c r="G31" s="40"/>
      <x:c r="H31" s="40"/>
    </x:row>
    <x:row r="32" ht="30" customHeight="1">
      <x:c r="A32" s="40" t="str">
        <x:v>Thuế và khấu trừ (USD)</x:v>
      </x:c>
      <x:c r="B32" s="40"/>
      <x:c r="C32" s="40"/>
      <x:c r="D32" s="45"/>
      <x:c r="E32" s="69" t="str">
        <x:v>Nhập tổng từ bảng lương; nhập 0 nếu không có.</x:v>
      </x:c>
      <x:c r="F32" s="69"/>
      <x:c r="G32" s="69"/>
      <x:c r="H32" s="69"/>
    </x:row>
    <x:row r="33" ht="30" customHeight="1">
      <x:c r="A33" s="40" t="str">
        <x:v>Hoàn trả chi phí (USD)</x:v>
      </x:c>
      <x:c r="B33" s="40"/>
      <x:c r="C33" s="40"/>
      <x:c r="D33" s="45"/>
      <x:c r="E33" s="69" t="str">
        <x:v>Khoản hoàn trả chi phí tách riêng với thu nhập.</x:v>
      </x:c>
      <x:c r="F33" s="69"/>
      <x:c r="G33" s="69"/>
      <x:c r="H33" s="69"/>
    </x:row>
    <x:row r="34" ht="23" customHeight="1">
      <x:c r="A34" s="47" t="str">
        <x:v>THỰC LĨNH</x:v>
      </x:c>
      <x:c r="B34" s="47"/>
      <x:c r="C34" s="47"/>
      <x:c r="D34" s="56" t="str">
        <x:f>IF(OR(D31="",D32=""),"",ROUND(D31-D32+N(D33),2))</x:f>
      </x:c>
      <x:c r="E34" s="40"/>
      <x:c r="F34" s="40"/>
      <x:c r="G34" s="40"/>
      <x:c r="H34" s="40"/>
    </x:row>
    <x:row r="35" ht="34" customHeight="1">
      <x:c r="A35" s="69"/>
      <x:c r="B35" s="69"/>
      <x:c r="C35" s="69"/>
      <x:c r="D35" s="69"/>
      <x:c r="E35" s="69" t="str">
        <x:v>Số tiền đã trả</x:v>
      </x:c>
      <x:c r="F35" s="73"/>
      <x:c r="G35" s="69" t="str">
        <x:v>Số tiền còn phải trả</x:v>
      </x:c>
      <x:c r="H35" s="74" t="str">
        <x:f>IF(D34="","",ROUND(D34-N(F35),2))</x:f>
      </x:c>
    </x:row>
    <x:row r="36" ht="34" customHeight="1">
      <x:c r="A36" s="69" t="str">
        <x:v>Hình thức trả</x:v>
      </x:c>
      <x:c r="B36" s="70"/>
      <x:c r="C36" s="70"/>
      <x:c r="D36" s="70"/>
      <x:c r="E36" s="69" t="str">
        <x:v>Ngày đã trả</x:v>
      </x:c>
      <x:c r="F36" s="98"/>
      <x:c r="G36" s="69" t="str">
        <x:v>Mã giao dịch / số séc</x:v>
      </x:c>
      <x:c r="H36" s="70"/>
    </x:row>
    <x:row r="37" ht="23" customHeight="1">
      <x:c r="A37" s="40"/>
      <x:c r="B37" s="40"/>
      <x:c r="C37" s="40"/>
      <x:c r="D37" s="40"/>
      <x:c r="E37" s="40"/>
      <x:c r="F37" s="40"/>
      <x:c r="G37" s="40"/>
      <x:c r="H37" s="40"/>
    </x:row>
    <x:row r="38" ht="34" customHeight="1">
      <x:c r="A38" s="69" t="str">
        <x:v>Chữ ký nhân viên</x:v>
      </x:c>
      <x:c r="B38" s="69"/>
      <x:c r="C38" s="70"/>
      <x:c r="D38" s="70"/>
      <x:c r="E38" s="69" t="str">
        <x:v>Người duyệt / ngày duyệt</x:v>
      </x:c>
      <x:c r="F38" s="69"/>
      <x:c r="G38" s="70"/>
      <x:c r="H38" s="70"/>
    </x:row>
  </x:sheetData>
  <x:mergeCells>
    <x:mergeCell ref="B36:D36"/>
    <x:mergeCell ref="A38:B38"/>
    <x:mergeCell ref="C38:D38"/>
    <x:mergeCell ref="E38:F38"/>
    <x:mergeCell ref="G38:H38"/>
    <x:mergeCell ref="A32:C32"/>
    <x:mergeCell ref="E32:H32"/>
    <x:mergeCell ref="A33:C33"/>
    <x:mergeCell ref="E33:H33"/>
    <x:mergeCell ref="A34:C34"/>
    <x:mergeCell ref="A30:C30"/>
    <x:mergeCell ref="E30:H30"/>
    <x:mergeCell ref="A31:C31"/>
    <x:mergeCell ref="A10:H10"/>
    <x:mergeCell ref="C2:H2"/>
    <x:mergeCell ref="C3:H3"/>
    <x:mergeCell ref="C4:H4"/>
    <x:mergeCell ref="B6:D6"/>
    <x:mergeCell ref="F6:H6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G23:H23"/>
    <x:mergeCell ref="G24:H24"/>
    <x:mergeCell ref="G25:H25"/>
  </x:mergeCells>
  <x:conditionalFormatting sqref="F12:F25">
    <x:cfRule type="cellIs" dxfId="2" priority="1" operator="greaterThan">
      <x:formula>24</x:formula>
    </x:cfRule>
  </x:conditionalFormatting>
  <x:dataValidations count="2">
    <x:dataValidation type="list" sqref="B36">
      <x:formula1>"Chuyển khoản,Séc,Tiền mặt,Khác"</x:formula1>
    </x:dataValidation>
    <x:dataValidation type="decimal" sqref="C12:E25">
      <x:formula1>0</x:formula1>
      <x:formula2>24</x:formula2>
    </x:dataValidation>
  </x:dataValidations>
  <x:pageMargins left="0.7" right="0.7" top="0.75" bottom="0.75" header="0.3" footer="0.3"/>
  <x:drawing xmlns:r="http://schemas.openxmlformats.org/officeDocument/2006/relationships" r:id="R5ce12ef8bcd7411c"/>
</x:worksheet>
</file>

<file path=xl/worksheets/sheet2.xml><?xml version="1.0" encoding="utf-8"?>
<x:worksheet xmlns:x="http://schemas.openxmlformats.org/spreadsheetml/2006/main">
  <x:sheetPr>
    <x:tabColor rgb="FF123C60"/>
  </x:sheetPr>
  <x:sheetViews>
    <x:sheetView showGridLines="0" workbookViewId="0">
      <x:pane ySplit="11" topLeftCell="A12" activePane="bottomLeft" state="frozen"/>
    </x:sheetView>
  </x:sheetViews>
  <x:sheetFormatPr defaultRowHeight="13.5"/>
  <x:cols>
    <x:col min="1" max="1" width="25" hidden="0" customWidth="1"/>
    <x:col min="2" max="13" width="16" customWidth="1"/>
    <x:col min="14" max="14" width="2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6" hidden="0" customWidth="1"/>
    <x:col min="12" max="12" width="23" hidden="0" customWidth="1"/>
    <x:col min="13" max="13" width="23" hidden="0" customWidth="1"/>
  </x:cols>
  <x:sheetData>
    <x:row r="1" ht="23" customHeight="1">
      <x:c r="A1" s="40"/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23" customHeight="1">
      <x:c r="A2" s="40"/>
      <x:c r="B2" s="40"/>
      <x:c r="C2" s="41" t="s">
        <x:v>0</x:v>
      </x:c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 ht="23" customHeight="1">
      <x:c r="A3" s="40"/>
      <x:c r="B3" s="40"/>
      <x:c r="C3" s="40" t="str">
        <x:v>SỔ THEO DÕI THANH TOÁN LƯƠNG</x:v>
      </x:c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 ht="23" customHeight="1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 ht="23" customHeight="1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</x:row>
    <x:row r="6" ht="23" customHeight="1">
      <x:c r="A6" s="40" t="str">
        <x:v>Mỗi dòng cho một nhân viên trong một kỳ lương. Nhập số liệu đã chốt từ phiếu lương hoặc hồ sơ bảng lương.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 ht="23" customHeight="1">
      <x:c r="A7" s="40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 ht="23" customHeight="1">
      <x:c r="A8" s="40" t="str">
        <x:v>Tổng thực lĩnh</x:v>
      </x:c>
      <x:c r="B8" s="46" t="n">
        <x:f>SUM(G12:G111)</x:f>
        <x:v>0</x:v>
      </x:c>
      <x:c r="C8" s="40"/>
      <x:c r="D8" s="40" t="str">
        <x:v>Tổng đã trả</x:v>
      </x:c>
      <x:c r="E8" s="46" t="n">
        <x:f>SUM(H12:H111)</x:f>
        <x:v>0</x:v>
      </x:c>
      <x:c r="F8" s="40"/>
      <x:c r="G8" s="40" t="str">
        <x:v>Tổng còn phải trả</x:v>
      </x:c>
      <x:c r="H8" s="46" t="n">
        <x:f>SUM(I12:I111)</x:f>
        <x:v>0</x:v>
      </x:c>
      <x:c r="I8" s="40"/>
      <x:c r="J8" s="40"/>
      <x:c r="K8" s="40"/>
      <x:c r="L8" s="40"/>
      <x:c r="M8" s="40"/>
      <x:c r="N8" s="40"/>
    </x:row>
    <x:row r="9" ht="23" customHeight="1">
      <x:c r="A9" s="40" t="str">
        <x:v>Nhập 0 nếu không có khấu trừ / hoàn trả / tiền đã trả. Trạng thái chỉ phản ánh thanh toán, không phải phê duyệt bảng lương.</x:v>
      </x:c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 ht="23" customHeight="1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 ht="36" customHeight="1">
      <x:c r="A11" s="58" t="str">
        <x:v>Họ tên nhân viên</x:v>
      </x:c>
      <x:c r="B11" s="58" t="str">
        <x:v>Ngày bắt đầu</x:v>
      </x:c>
      <x:c r="C11" s="58" t="str">
        <x:v>Ngày kết thúc</x:v>
      </x:c>
      <x:c r="D11" s="58" t="str">
        <x:v>Tổng thu nhập</x:v>
      </x:c>
      <x:c r="E11" s="58" t="str">
        <x:v>Thuế / khấu trừ</x:v>
      </x:c>
      <x:c r="F11" s="58" t="str">
        <x:v>Hoàn trả chi phí</x:v>
      </x:c>
      <x:c r="G11" s="58" t="str">
        <x:v>Thực lĩnh</x:v>
      </x:c>
      <x:c r="H11" s="58" t="str">
        <x:v>Số tiền đã trả</x:v>
      </x:c>
      <x:c r="I11" s="58" t="str">
        <x:v>Còn phải trả</x:v>
      </x:c>
      <x:c r="J11" s="58" t="str">
        <x:v>Trạng thái</x:v>
      </x:c>
      <x:c r="K11" s="58" t="str">
        <x:v>Ngày đã trả</x:v>
      </x:c>
      <x:c r="L11" s="58" t="str">
        <x:v>Hình thức trả</x:v>
      </x:c>
      <x:c r="M11" s="58" t="str">
        <x:v>Mã giao dịch / số séc</x:v>
      </x:c>
      <x:c r="N11" s="58" t="str">
        <x:v>Ghi chú / mã nhân viên</x:v>
      </x:c>
    </x:row>
    <x:row r="12" ht="23" customHeight="1">
      <x:c r="A12" s="42"/>
      <x:c r="B12" s="103"/>
      <x:c r="C12" s="104" t="str">
        <x:f t="shared" ref="C12:C43" si="0">IF(B12="","",B12+13)</x:f>
      </x:c>
      <x:c r="D12" s="45"/>
      <x:c r="E12" s="45"/>
      <x:c r="F12" s="45"/>
      <x:c r="G12" s="46" t="str">
        <x:f t="shared" ref="G12:G43" si="1">IF(OR(A12="",D12="",E12="",F12=""),"",ROUND(D12-E12+F12,2))</x:f>
      </x:c>
      <x:c r="H12" s="45"/>
      <x:c r="I12" s="46" t="str">
        <x:f t="shared" ref="I12:I43" si="2">IF(OR(G12="",H12=""),"",ROUND(G12-H12,2))</x:f>
      </x:c>
      <x:c r="J12" s="40" t="str">
        <x:f t="shared" ref="J12:J43" si="3">IF(A12="","",IF(OR(B12="",G12="",H12=""),"Thiếu thông tin",IF(I12&lt;0,"Trả thừa",IF(I12&gt;0,IF(H12=0,"Chưa trả","Trả một phần"),IF(OR(K12="",L12=""),"Bổ sung thông tin trả","Đã trả")))))</x:f>
      </x:c>
      <x:c r="K12" s="103"/>
      <x:c r="L12" s="42"/>
      <x:c r="M12" s="42"/>
      <x:c r="N12" s="42"/>
    </x:row>
    <x:row r="13" ht="23" customHeight="1">
      <x:c r="A13" s="42"/>
      <x:c r="B13" s="103"/>
      <x:c r="C13" s="104" t="str">
        <x:f t="shared" si="0"/>
      </x:c>
      <x:c r="D13" s="45"/>
      <x:c r="E13" s="45"/>
      <x:c r="F13" s="45"/>
      <x:c r="G13" s="46" t="str">
        <x:f t="shared" si="1"/>
      </x:c>
      <x:c r="H13" s="45"/>
      <x:c r="I13" s="46" t="str">
        <x:f t="shared" si="2"/>
      </x:c>
      <x:c r="J13" s="40" t="str">
        <x:f t="shared" si="3"/>
      </x:c>
      <x:c r="K13" s="103"/>
      <x:c r="L13" s="42"/>
      <x:c r="M13" s="42"/>
      <x:c r="N13" s="42"/>
    </x:row>
    <x:row r="14" ht="23" customHeight="1">
      <x:c r="A14" s="42"/>
      <x:c r="B14" s="103"/>
      <x:c r="C14" s="104" t="str">
        <x:f t="shared" si="0"/>
      </x:c>
      <x:c r="D14" s="45"/>
      <x:c r="E14" s="45"/>
      <x:c r="F14" s="45"/>
      <x:c r="G14" s="46" t="str">
        <x:f t="shared" si="1"/>
      </x:c>
      <x:c r="H14" s="45"/>
      <x:c r="I14" s="46" t="str">
        <x:f t="shared" si="2"/>
      </x:c>
      <x:c r="J14" s="40" t="str">
        <x:f t="shared" si="3"/>
      </x:c>
      <x:c r="K14" s="103"/>
      <x:c r="L14" s="42"/>
      <x:c r="M14" s="42"/>
      <x:c r="N14" s="42"/>
    </x:row>
    <x:row r="15" ht="23" customHeight="1">
      <x:c r="A15" s="42"/>
      <x:c r="B15" s="103"/>
      <x:c r="C15" s="104" t="str">
        <x:f t="shared" si="0"/>
      </x:c>
      <x:c r="D15" s="45"/>
      <x:c r="E15" s="45"/>
      <x:c r="F15" s="45"/>
      <x:c r="G15" s="46" t="str">
        <x:f t="shared" si="1"/>
      </x:c>
      <x:c r="H15" s="45"/>
      <x:c r="I15" s="46" t="str">
        <x:f t="shared" si="2"/>
      </x:c>
      <x:c r="J15" s="40" t="str">
        <x:f t="shared" si="3"/>
      </x:c>
      <x:c r="K15" s="103"/>
      <x:c r="L15" s="42"/>
      <x:c r="M15" s="42"/>
      <x:c r="N15" s="42"/>
    </x:row>
    <x:row r="16" ht="23" customHeight="1">
      <x:c r="A16" s="42"/>
      <x:c r="B16" s="103"/>
      <x:c r="C16" s="104" t="str">
        <x:f t="shared" si="0"/>
      </x:c>
      <x:c r="D16" s="45"/>
      <x:c r="E16" s="45"/>
      <x:c r="F16" s="45"/>
      <x:c r="G16" s="46" t="str">
        <x:f t="shared" si="1"/>
      </x:c>
      <x:c r="H16" s="45"/>
      <x:c r="I16" s="46" t="str">
        <x:f t="shared" si="2"/>
      </x:c>
      <x:c r="J16" s="40" t="str">
        <x:f t="shared" si="3"/>
      </x:c>
      <x:c r="K16" s="103"/>
      <x:c r="L16" s="42"/>
      <x:c r="M16" s="42"/>
      <x:c r="N16" s="42"/>
    </x:row>
    <x:row r="17" ht="23" customHeight="1">
      <x:c r="A17" s="42"/>
      <x:c r="B17" s="103"/>
      <x:c r="C17" s="104" t="str">
        <x:f t="shared" si="0"/>
      </x:c>
      <x:c r="D17" s="45"/>
      <x:c r="E17" s="45"/>
      <x:c r="F17" s="45"/>
      <x:c r="G17" s="46" t="str">
        <x:f t="shared" si="1"/>
      </x:c>
      <x:c r="H17" s="45"/>
      <x:c r="I17" s="46" t="str">
        <x:f t="shared" si="2"/>
      </x:c>
      <x:c r="J17" s="40" t="str">
        <x:f t="shared" si="3"/>
      </x:c>
      <x:c r="K17" s="103"/>
      <x:c r="L17" s="42"/>
      <x:c r="M17" s="42"/>
      <x:c r="N17" s="42"/>
    </x:row>
    <x:row r="18" ht="23" customHeight="1">
      <x:c r="A18" s="42"/>
      <x:c r="B18" s="103"/>
      <x:c r="C18" s="104" t="str">
        <x:f t="shared" si="0"/>
      </x:c>
      <x:c r="D18" s="45"/>
      <x:c r="E18" s="45"/>
      <x:c r="F18" s="45"/>
      <x:c r="G18" s="46" t="str">
        <x:f t="shared" si="1"/>
      </x:c>
      <x:c r="H18" s="45"/>
      <x:c r="I18" s="46" t="str">
        <x:f t="shared" si="2"/>
      </x:c>
      <x:c r="J18" s="40" t="str">
        <x:f t="shared" si="3"/>
      </x:c>
      <x:c r="K18" s="103"/>
      <x:c r="L18" s="42"/>
      <x:c r="M18" s="42"/>
      <x:c r="N18" s="42"/>
    </x:row>
    <x:row r="19" ht="23" customHeight="1">
      <x:c r="A19" s="42"/>
      <x:c r="B19" s="103"/>
      <x:c r="C19" s="104" t="str">
        <x:f t="shared" si="0"/>
      </x:c>
      <x:c r="D19" s="45"/>
      <x:c r="E19" s="45"/>
      <x:c r="F19" s="45"/>
      <x:c r="G19" s="46" t="str">
        <x:f t="shared" si="1"/>
      </x:c>
      <x:c r="H19" s="45"/>
      <x:c r="I19" s="46" t="str">
        <x:f t="shared" si="2"/>
      </x:c>
      <x:c r="J19" s="40" t="str">
        <x:f t="shared" si="3"/>
      </x:c>
      <x:c r="K19" s="103"/>
      <x:c r="L19" s="42"/>
      <x:c r="M19" s="42"/>
      <x:c r="N19" s="42"/>
    </x:row>
    <x:row r="20" ht="23" customHeight="1">
      <x:c r="A20" s="42"/>
      <x:c r="B20" s="103"/>
      <x:c r="C20" s="104" t="str">
        <x:f t="shared" si="0"/>
      </x:c>
      <x:c r="D20" s="45"/>
      <x:c r="E20" s="45"/>
      <x:c r="F20" s="45"/>
      <x:c r="G20" s="46" t="str">
        <x:f t="shared" si="1"/>
      </x:c>
      <x:c r="H20" s="45"/>
      <x:c r="I20" s="46" t="str">
        <x:f t="shared" si="2"/>
      </x:c>
      <x:c r="J20" s="40" t="str">
        <x:f t="shared" si="3"/>
      </x:c>
      <x:c r="K20" s="103"/>
      <x:c r="L20" s="42"/>
      <x:c r="M20" s="42"/>
      <x:c r="N20" s="42"/>
    </x:row>
    <x:row r="21" ht="23" customHeight="1">
      <x:c r="A21" s="42"/>
      <x:c r="B21" s="103"/>
      <x:c r="C21" s="104" t="str">
        <x:f t="shared" si="0"/>
      </x:c>
      <x:c r="D21" s="45"/>
      <x:c r="E21" s="45"/>
      <x:c r="F21" s="45"/>
      <x:c r="G21" s="46" t="str">
        <x:f t="shared" si="1"/>
      </x:c>
      <x:c r="H21" s="45"/>
      <x:c r="I21" s="46" t="str">
        <x:f t="shared" si="2"/>
      </x:c>
      <x:c r="J21" s="40" t="str">
        <x:f t="shared" si="3"/>
      </x:c>
      <x:c r="K21" s="103"/>
      <x:c r="L21" s="42"/>
      <x:c r="M21" s="42"/>
      <x:c r="N21" s="42"/>
    </x:row>
    <x:row r="22" ht="23" customHeight="1">
      <x:c r="A22" s="42"/>
      <x:c r="B22" s="103"/>
      <x:c r="C22" s="104" t="str">
        <x:f t="shared" si="0"/>
      </x:c>
      <x:c r="D22" s="45"/>
      <x:c r="E22" s="45"/>
      <x:c r="F22" s="45"/>
      <x:c r="G22" s="46" t="str">
        <x:f t="shared" si="1"/>
      </x:c>
      <x:c r="H22" s="45"/>
      <x:c r="I22" s="46" t="str">
        <x:f t="shared" si="2"/>
      </x:c>
      <x:c r="J22" s="40" t="str">
        <x:f t="shared" si="3"/>
      </x:c>
      <x:c r="K22" s="103"/>
      <x:c r="L22" s="42"/>
      <x:c r="M22" s="42"/>
      <x:c r="N22" s="42"/>
    </x:row>
    <x:row r="23" ht="23" customHeight="1">
      <x:c r="A23" s="42"/>
      <x:c r="B23" s="103"/>
      <x:c r="C23" s="104" t="str">
        <x:f t="shared" si="0"/>
      </x:c>
      <x:c r="D23" s="45"/>
      <x:c r="E23" s="45"/>
      <x:c r="F23" s="45"/>
      <x:c r="G23" s="46" t="str">
        <x:f t="shared" si="1"/>
      </x:c>
      <x:c r="H23" s="45"/>
      <x:c r="I23" s="46" t="str">
        <x:f t="shared" si="2"/>
      </x:c>
      <x:c r="J23" s="40" t="str">
        <x:f t="shared" si="3"/>
      </x:c>
      <x:c r="K23" s="103"/>
      <x:c r="L23" s="42"/>
      <x:c r="M23" s="42"/>
      <x:c r="N23" s="42"/>
    </x:row>
    <x:row r="24" ht="23" customHeight="1">
      <x:c r="A24" s="42"/>
      <x:c r="B24" s="103"/>
      <x:c r="C24" s="104" t="str">
        <x:f t="shared" si="0"/>
      </x:c>
      <x:c r="D24" s="45"/>
      <x:c r="E24" s="45"/>
      <x:c r="F24" s="45"/>
      <x:c r="G24" s="46" t="str">
        <x:f t="shared" si="1"/>
      </x:c>
      <x:c r="H24" s="45"/>
      <x:c r="I24" s="46" t="str">
        <x:f t="shared" si="2"/>
      </x:c>
      <x:c r="J24" s="40" t="str">
        <x:f t="shared" si="3"/>
      </x:c>
      <x:c r="K24" s="103"/>
      <x:c r="L24" s="42"/>
      <x:c r="M24" s="42"/>
      <x:c r="N24" s="42"/>
    </x:row>
    <x:row r="25" ht="23" customHeight="1">
      <x:c r="A25" s="42"/>
      <x:c r="B25" s="103"/>
      <x:c r="C25" s="104" t="str">
        <x:f t="shared" si="0"/>
      </x:c>
      <x:c r="D25" s="45"/>
      <x:c r="E25" s="45"/>
      <x:c r="F25" s="45"/>
      <x:c r="G25" s="46" t="str">
        <x:f t="shared" si="1"/>
      </x:c>
      <x:c r="H25" s="45"/>
      <x:c r="I25" s="46" t="str">
        <x:f t="shared" si="2"/>
      </x:c>
      <x:c r="J25" s="40" t="str">
        <x:f t="shared" si="3"/>
      </x:c>
      <x:c r="K25" s="103"/>
      <x:c r="L25" s="42"/>
      <x:c r="M25" s="42"/>
      <x:c r="N25" s="42"/>
    </x:row>
    <x:row r="26" ht="23" customHeight="1">
      <x:c r="A26" s="42"/>
      <x:c r="B26" s="103"/>
      <x:c r="C26" s="104" t="str">
        <x:f t="shared" si="0"/>
      </x:c>
      <x:c r="D26" s="45"/>
      <x:c r="E26" s="45"/>
      <x:c r="F26" s="45"/>
      <x:c r="G26" s="46" t="str">
        <x:f t="shared" si="1"/>
      </x:c>
      <x:c r="H26" s="45"/>
      <x:c r="I26" s="46" t="str">
        <x:f t="shared" si="2"/>
      </x:c>
      <x:c r="J26" s="40" t="str">
        <x:f t="shared" si="3"/>
      </x:c>
      <x:c r="K26" s="103"/>
      <x:c r="L26" s="42"/>
      <x:c r="M26" s="42"/>
      <x:c r="N26" s="42"/>
    </x:row>
    <x:row r="27" ht="23" customHeight="1">
      <x:c r="A27" s="42"/>
      <x:c r="B27" s="103"/>
      <x:c r="C27" s="104" t="str">
        <x:f t="shared" si="0"/>
      </x:c>
      <x:c r="D27" s="45"/>
      <x:c r="E27" s="45"/>
      <x:c r="F27" s="45"/>
      <x:c r="G27" s="46" t="str">
        <x:f t="shared" si="1"/>
      </x:c>
      <x:c r="H27" s="45"/>
      <x:c r="I27" s="46" t="str">
        <x:f t="shared" si="2"/>
      </x:c>
      <x:c r="J27" s="40" t="str">
        <x:f t="shared" si="3"/>
      </x:c>
      <x:c r="K27" s="103"/>
      <x:c r="L27" s="42"/>
      <x:c r="M27" s="42"/>
      <x:c r="N27" s="42"/>
    </x:row>
    <x:row r="28" ht="23" customHeight="1">
      <x:c r="A28" s="42"/>
      <x:c r="B28" s="103"/>
      <x:c r="C28" s="104" t="str">
        <x:f t="shared" si="0"/>
      </x:c>
      <x:c r="D28" s="45"/>
      <x:c r="E28" s="45"/>
      <x:c r="F28" s="45"/>
      <x:c r="G28" s="46" t="str">
        <x:f t="shared" si="1"/>
      </x:c>
      <x:c r="H28" s="45"/>
      <x:c r="I28" s="46" t="str">
        <x:f t="shared" si="2"/>
      </x:c>
      <x:c r="J28" s="40" t="str">
        <x:f t="shared" si="3"/>
      </x:c>
      <x:c r="K28" s="103"/>
      <x:c r="L28" s="42"/>
      <x:c r="M28" s="42"/>
      <x:c r="N28" s="42"/>
    </x:row>
    <x:row r="29" ht="23" customHeight="1">
      <x:c r="A29" s="42"/>
      <x:c r="B29" s="103"/>
      <x:c r="C29" s="104" t="str">
        <x:f t="shared" si="0"/>
      </x:c>
      <x:c r="D29" s="45"/>
      <x:c r="E29" s="45"/>
      <x:c r="F29" s="45"/>
      <x:c r="G29" s="46" t="str">
        <x:f t="shared" si="1"/>
      </x:c>
      <x:c r="H29" s="45"/>
      <x:c r="I29" s="46" t="str">
        <x:f t="shared" si="2"/>
      </x:c>
      <x:c r="J29" s="40" t="str">
        <x:f t="shared" si="3"/>
      </x:c>
      <x:c r="K29" s="103"/>
      <x:c r="L29" s="42"/>
      <x:c r="M29" s="42"/>
      <x:c r="N29" s="42"/>
    </x:row>
    <x:row r="30" ht="23" customHeight="1">
      <x:c r="A30" s="42"/>
      <x:c r="B30" s="103"/>
      <x:c r="C30" s="104" t="str">
        <x:f t="shared" si="0"/>
      </x:c>
      <x:c r="D30" s="45"/>
      <x:c r="E30" s="45"/>
      <x:c r="F30" s="45"/>
      <x:c r="G30" s="46" t="str">
        <x:f t="shared" si="1"/>
      </x:c>
      <x:c r="H30" s="45"/>
      <x:c r="I30" s="46" t="str">
        <x:f t="shared" si="2"/>
      </x:c>
      <x:c r="J30" s="40" t="str">
        <x:f t="shared" si="3"/>
      </x:c>
      <x:c r="K30" s="103"/>
      <x:c r="L30" s="42"/>
      <x:c r="M30" s="42"/>
      <x:c r="N30" s="42"/>
    </x:row>
    <x:row r="31" ht="23" customHeight="1">
      <x:c r="A31" s="42"/>
      <x:c r="B31" s="103"/>
      <x:c r="C31" s="104" t="str">
        <x:f t="shared" si="0"/>
      </x:c>
      <x:c r="D31" s="45"/>
      <x:c r="E31" s="45"/>
      <x:c r="F31" s="45"/>
      <x:c r="G31" s="46" t="str">
        <x:f t="shared" si="1"/>
      </x:c>
      <x:c r="H31" s="45"/>
      <x:c r="I31" s="46" t="str">
        <x:f t="shared" si="2"/>
      </x:c>
      <x:c r="J31" s="40" t="str">
        <x:f t="shared" si="3"/>
      </x:c>
      <x:c r="K31" s="103"/>
      <x:c r="L31" s="42"/>
      <x:c r="M31" s="42"/>
      <x:c r="N31" s="42"/>
    </x:row>
    <x:row r="32" ht="23" customHeight="1">
      <x:c r="A32" s="42"/>
      <x:c r="B32" s="103"/>
      <x:c r="C32" s="104" t="str">
        <x:f t="shared" si="0"/>
      </x:c>
      <x:c r="D32" s="45"/>
      <x:c r="E32" s="45"/>
      <x:c r="F32" s="45"/>
      <x:c r="G32" s="46" t="str">
        <x:f t="shared" si="1"/>
      </x:c>
      <x:c r="H32" s="45"/>
      <x:c r="I32" s="46" t="str">
        <x:f t="shared" si="2"/>
      </x:c>
      <x:c r="J32" s="40" t="str">
        <x:f t="shared" si="3"/>
      </x:c>
      <x:c r="K32" s="103"/>
      <x:c r="L32" s="42"/>
      <x:c r="M32" s="42"/>
      <x:c r="N32" s="42"/>
    </x:row>
    <x:row r="33" ht="23" customHeight="1">
      <x:c r="A33" s="42"/>
      <x:c r="B33" s="103"/>
      <x:c r="C33" s="104" t="str">
        <x:f t="shared" si="0"/>
      </x:c>
      <x:c r="D33" s="45"/>
      <x:c r="E33" s="45"/>
      <x:c r="F33" s="45"/>
      <x:c r="G33" s="46" t="str">
        <x:f t="shared" si="1"/>
      </x:c>
      <x:c r="H33" s="45"/>
      <x:c r="I33" s="46" t="str">
        <x:f t="shared" si="2"/>
      </x:c>
      <x:c r="J33" s="40" t="str">
        <x:f t="shared" si="3"/>
      </x:c>
      <x:c r="K33" s="103"/>
      <x:c r="L33" s="42"/>
      <x:c r="M33" s="42"/>
      <x:c r="N33" s="42"/>
    </x:row>
    <x:row r="34" ht="23" customHeight="1">
      <x:c r="A34" s="42"/>
      <x:c r="B34" s="103"/>
      <x:c r="C34" s="104" t="str">
        <x:f t="shared" si="0"/>
      </x:c>
      <x:c r="D34" s="45"/>
      <x:c r="E34" s="45"/>
      <x:c r="F34" s="45"/>
      <x:c r="G34" s="46" t="str">
        <x:f t="shared" si="1"/>
      </x:c>
      <x:c r="H34" s="45"/>
      <x:c r="I34" s="46" t="str">
        <x:f t="shared" si="2"/>
      </x:c>
      <x:c r="J34" s="40" t="str">
        <x:f t="shared" si="3"/>
      </x:c>
      <x:c r="K34" s="103"/>
      <x:c r="L34" s="42"/>
      <x:c r="M34" s="42"/>
      <x:c r="N34" s="42"/>
    </x:row>
    <x:row r="35" ht="23" customHeight="1">
      <x:c r="A35" s="42"/>
      <x:c r="B35" s="103"/>
      <x:c r="C35" s="104" t="str">
        <x:f t="shared" si="0"/>
      </x:c>
      <x:c r="D35" s="45"/>
      <x:c r="E35" s="45"/>
      <x:c r="F35" s="45"/>
      <x:c r="G35" s="46" t="str">
        <x:f t="shared" si="1"/>
      </x:c>
      <x:c r="H35" s="45"/>
      <x:c r="I35" s="46" t="str">
        <x:f t="shared" si="2"/>
      </x:c>
      <x:c r="J35" s="40" t="str">
        <x:f t="shared" si="3"/>
      </x:c>
      <x:c r="K35" s="103"/>
      <x:c r="L35" s="42"/>
      <x:c r="M35" s="42"/>
      <x:c r="N35" s="42"/>
    </x:row>
    <x:row r="36" ht="23" customHeight="1">
      <x:c r="A36" s="42"/>
      <x:c r="B36" s="103"/>
      <x:c r="C36" s="104" t="str">
        <x:f t="shared" si="0"/>
      </x:c>
      <x:c r="D36" s="45"/>
      <x:c r="E36" s="45"/>
      <x:c r="F36" s="45"/>
      <x:c r="G36" s="46" t="str">
        <x:f t="shared" si="1"/>
      </x:c>
      <x:c r="H36" s="45"/>
      <x:c r="I36" s="46" t="str">
        <x:f t="shared" si="2"/>
      </x:c>
      <x:c r="J36" s="40" t="str">
        <x:f t="shared" si="3"/>
      </x:c>
      <x:c r="K36" s="103"/>
      <x:c r="L36" s="42"/>
      <x:c r="M36" s="42"/>
      <x:c r="N36" s="42"/>
    </x:row>
    <x:row r="37" ht="23" customHeight="1">
      <x:c r="A37" s="42"/>
      <x:c r="B37" s="103"/>
      <x:c r="C37" s="104" t="str">
        <x:f t="shared" si="0"/>
      </x:c>
      <x:c r="D37" s="45"/>
      <x:c r="E37" s="45"/>
      <x:c r="F37" s="45"/>
      <x:c r="G37" s="46" t="str">
        <x:f t="shared" si="1"/>
      </x:c>
      <x:c r="H37" s="45"/>
      <x:c r="I37" s="46" t="str">
        <x:f t="shared" si="2"/>
      </x:c>
      <x:c r="J37" s="40" t="str">
        <x:f t="shared" si="3"/>
      </x:c>
      <x:c r="K37" s="103"/>
      <x:c r="L37" s="42"/>
      <x:c r="M37" s="42"/>
      <x:c r="N37" s="42"/>
    </x:row>
    <x:row r="38" ht="23" customHeight="1">
      <x:c r="A38" s="42"/>
      <x:c r="B38" s="103"/>
      <x:c r="C38" s="104" t="str">
        <x:f t="shared" si="0"/>
      </x:c>
      <x:c r="D38" s="45"/>
      <x:c r="E38" s="45"/>
      <x:c r="F38" s="45"/>
      <x:c r="G38" s="46" t="str">
        <x:f t="shared" si="1"/>
      </x:c>
      <x:c r="H38" s="45"/>
      <x:c r="I38" s="46" t="str">
        <x:f t="shared" si="2"/>
      </x:c>
      <x:c r="J38" s="40" t="str">
        <x:f t="shared" si="3"/>
      </x:c>
      <x:c r="K38" s="103"/>
      <x:c r="L38" s="42"/>
      <x:c r="M38" s="42"/>
      <x:c r="N38" s="42"/>
    </x:row>
    <x:row r="39" ht="23" customHeight="1">
      <x:c r="A39" s="42"/>
      <x:c r="B39" s="103"/>
      <x:c r="C39" s="104" t="str">
        <x:f t="shared" si="0"/>
      </x:c>
      <x:c r="D39" s="45"/>
      <x:c r="E39" s="45"/>
      <x:c r="F39" s="45"/>
      <x:c r="G39" s="46" t="str">
        <x:f t="shared" si="1"/>
      </x:c>
      <x:c r="H39" s="45"/>
      <x:c r="I39" s="46" t="str">
        <x:f t="shared" si="2"/>
      </x:c>
      <x:c r="J39" s="40" t="str">
        <x:f t="shared" si="3"/>
      </x:c>
      <x:c r="K39" s="103"/>
      <x:c r="L39" s="42"/>
      <x:c r="M39" s="42"/>
      <x:c r="N39" s="42"/>
    </x:row>
    <x:row r="40" ht="23" customHeight="1">
      <x:c r="A40" s="42"/>
      <x:c r="B40" s="103"/>
      <x:c r="C40" s="104" t="str">
        <x:f t="shared" si="0"/>
      </x:c>
      <x:c r="D40" s="45"/>
      <x:c r="E40" s="45"/>
      <x:c r="F40" s="45"/>
      <x:c r="G40" s="46" t="str">
        <x:f t="shared" si="1"/>
      </x:c>
      <x:c r="H40" s="45"/>
      <x:c r="I40" s="46" t="str">
        <x:f t="shared" si="2"/>
      </x:c>
      <x:c r="J40" s="40" t="str">
        <x:f t="shared" si="3"/>
      </x:c>
      <x:c r="K40" s="103"/>
      <x:c r="L40" s="42"/>
      <x:c r="M40" s="42"/>
      <x:c r="N40" s="42"/>
    </x:row>
    <x:row r="41" ht="23" customHeight="1">
      <x:c r="A41" s="42"/>
      <x:c r="B41" s="103"/>
      <x:c r="C41" s="104" t="str">
        <x:f t="shared" si="0"/>
      </x:c>
      <x:c r="D41" s="45"/>
      <x:c r="E41" s="45"/>
      <x:c r="F41" s="45"/>
      <x:c r="G41" s="46" t="str">
        <x:f t="shared" si="1"/>
      </x:c>
      <x:c r="H41" s="45"/>
      <x:c r="I41" s="46" t="str">
        <x:f t="shared" si="2"/>
      </x:c>
      <x:c r="J41" s="40" t="str">
        <x:f t="shared" si="3"/>
      </x:c>
      <x:c r="K41" s="103"/>
      <x:c r="L41" s="42"/>
      <x:c r="M41" s="42"/>
      <x:c r="N41" s="42"/>
    </x:row>
    <x:row r="42" ht="23" customHeight="1">
      <x:c r="A42" s="42"/>
      <x:c r="B42" s="103"/>
      <x:c r="C42" s="104" t="str">
        <x:f t="shared" si="0"/>
      </x:c>
      <x:c r="D42" s="45"/>
      <x:c r="E42" s="45"/>
      <x:c r="F42" s="45"/>
      <x:c r="G42" s="46" t="str">
        <x:f t="shared" si="1"/>
      </x:c>
      <x:c r="H42" s="45"/>
      <x:c r="I42" s="46" t="str">
        <x:f t="shared" si="2"/>
      </x:c>
      <x:c r="J42" s="40" t="str">
        <x:f t="shared" si="3"/>
      </x:c>
      <x:c r="K42" s="103"/>
      <x:c r="L42" s="42"/>
      <x:c r="M42" s="42"/>
      <x:c r="N42" s="42"/>
    </x:row>
    <x:row r="43" ht="23" customHeight="1">
      <x:c r="A43" s="42"/>
      <x:c r="B43" s="103"/>
      <x:c r="C43" s="104" t="str">
        <x:f t="shared" si="0"/>
      </x:c>
      <x:c r="D43" s="45"/>
      <x:c r="E43" s="45"/>
      <x:c r="F43" s="45"/>
      <x:c r="G43" s="46" t="str">
        <x:f t="shared" si="1"/>
      </x:c>
      <x:c r="H43" s="45"/>
      <x:c r="I43" s="46" t="str">
        <x:f t="shared" si="2"/>
      </x:c>
      <x:c r="J43" s="40" t="str">
        <x:f t="shared" si="3"/>
      </x:c>
      <x:c r="K43" s="103"/>
      <x:c r="L43" s="42"/>
      <x:c r="M43" s="42"/>
      <x:c r="N43" s="42"/>
    </x:row>
    <x:row r="44" ht="23" customHeight="1">
      <x:c r="A44" s="42"/>
      <x:c r="B44" s="103"/>
      <x:c r="C44" s="104" t="str">
        <x:f t="shared" ref="C44:C75" si="4">IF(B44="","",B44+13)</x:f>
      </x:c>
      <x:c r="D44" s="45"/>
      <x:c r="E44" s="45"/>
      <x:c r="F44" s="45"/>
      <x:c r="G44" s="46" t="str">
        <x:f t="shared" ref="G44:G75" si="5">IF(OR(A44="",D44="",E44="",F44=""),"",ROUND(D44-E44+F44,2))</x:f>
      </x:c>
      <x:c r="H44" s="45"/>
      <x:c r="I44" s="46" t="str">
        <x:f t="shared" ref="I44:I75" si="6">IF(OR(G44="",H44=""),"",ROUND(G44-H44,2))</x:f>
      </x:c>
      <x:c r="J44" s="40" t="str">
        <x:f t="shared" ref="J44:J75" si="7">IF(A44="","",IF(OR(B44="",G44="",H44=""),"Thiếu thông tin",IF(I44&lt;0,"Trả thừa",IF(I44&gt;0,IF(H44=0,"Chưa trả","Trả một phần"),IF(OR(K44="",L44=""),"Bổ sung thông tin trả","Đã trả")))))</x:f>
      </x:c>
      <x:c r="K44" s="103"/>
      <x:c r="L44" s="42"/>
      <x:c r="M44" s="42"/>
      <x:c r="N44" s="42"/>
    </x:row>
    <x:row r="45" ht="23" customHeight="1">
      <x:c r="A45" s="42"/>
      <x:c r="B45" s="103"/>
      <x:c r="C45" s="104" t="str">
        <x:f t="shared" si="4"/>
      </x:c>
      <x:c r="D45" s="45"/>
      <x:c r="E45" s="45"/>
      <x:c r="F45" s="45"/>
      <x:c r="G45" s="46" t="str">
        <x:f t="shared" si="5"/>
      </x:c>
      <x:c r="H45" s="45"/>
      <x:c r="I45" s="46" t="str">
        <x:f t="shared" si="6"/>
      </x:c>
      <x:c r="J45" s="40" t="str">
        <x:f t="shared" si="7"/>
      </x:c>
      <x:c r="K45" s="103"/>
      <x:c r="L45" s="42"/>
      <x:c r="M45" s="42"/>
      <x:c r="N45" s="42"/>
    </x:row>
    <x:row r="46" ht="23" customHeight="1">
      <x:c r="A46" s="42"/>
      <x:c r="B46" s="103"/>
      <x:c r="C46" s="104" t="str">
        <x:f t="shared" si="4"/>
      </x:c>
      <x:c r="D46" s="45"/>
      <x:c r="E46" s="45"/>
      <x:c r="F46" s="45"/>
      <x:c r="G46" s="46" t="str">
        <x:f t="shared" si="5"/>
      </x:c>
      <x:c r="H46" s="45"/>
      <x:c r="I46" s="46" t="str">
        <x:f t="shared" si="6"/>
      </x:c>
      <x:c r="J46" s="40" t="str">
        <x:f t="shared" si="7"/>
      </x:c>
      <x:c r="K46" s="103"/>
      <x:c r="L46" s="42"/>
      <x:c r="M46" s="42"/>
      <x:c r="N46" s="42"/>
    </x:row>
    <x:row r="47" ht="23" customHeight="1">
      <x:c r="A47" s="42"/>
      <x:c r="B47" s="103"/>
      <x:c r="C47" s="104" t="str">
        <x:f t="shared" si="4"/>
      </x:c>
      <x:c r="D47" s="45"/>
      <x:c r="E47" s="45"/>
      <x:c r="F47" s="45"/>
      <x:c r="G47" s="46" t="str">
        <x:f t="shared" si="5"/>
      </x:c>
      <x:c r="H47" s="45"/>
      <x:c r="I47" s="46" t="str">
        <x:f t="shared" si="6"/>
      </x:c>
      <x:c r="J47" s="40" t="str">
        <x:f t="shared" si="7"/>
      </x:c>
      <x:c r="K47" s="103"/>
      <x:c r="L47" s="42"/>
      <x:c r="M47" s="42"/>
      <x:c r="N47" s="42"/>
    </x:row>
    <x:row r="48" ht="23" customHeight="1">
      <x:c r="A48" s="42"/>
      <x:c r="B48" s="103"/>
      <x:c r="C48" s="104" t="str">
        <x:f t="shared" si="4"/>
      </x:c>
      <x:c r="D48" s="45"/>
      <x:c r="E48" s="45"/>
      <x:c r="F48" s="45"/>
      <x:c r="G48" s="46" t="str">
        <x:f t="shared" si="5"/>
      </x:c>
      <x:c r="H48" s="45"/>
      <x:c r="I48" s="46" t="str">
        <x:f t="shared" si="6"/>
      </x:c>
      <x:c r="J48" s="40" t="str">
        <x:f t="shared" si="7"/>
      </x:c>
      <x:c r="K48" s="103"/>
      <x:c r="L48" s="42"/>
      <x:c r="M48" s="42"/>
      <x:c r="N48" s="42"/>
    </x:row>
    <x:row r="49" ht="23" customHeight="1">
      <x:c r="A49" s="42"/>
      <x:c r="B49" s="103"/>
      <x:c r="C49" s="104" t="str">
        <x:f t="shared" si="4"/>
      </x:c>
      <x:c r="D49" s="45"/>
      <x:c r="E49" s="45"/>
      <x:c r="F49" s="45"/>
      <x:c r="G49" s="46" t="str">
        <x:f t="shared" si="5"/>
      </x:c>
      <x:c r="H49" s="45"/>
      <x:c r="I49" s="46" t="str">
        <x:f t="shared" si="6"/>
      </x:c>
      <x:c r="J49" s="40" t="str">
        <x:f t="shared" si="7"/>
      </x:c>
      <x:c r="K49" s="103"/>
      <x:c r="L49" s="42"/>
      <x:c r="M49" s="42"/>
      <x:c r="N49" s="42"/>
    </x:row>
    <x:row r="50" ht="23" customHeight="1">
      <x:c r="A50" s="42"/>
      <x:c r="B50" s="103"/>
      <x:c r="C50" s="104" t="str">
        <x:f t="shared" si="4"/>
      </x:c>
      <x:c r="D50" s="45"/>
      <x:c r="E50" s="45"/>
      <x:c r="F50" s="45"/>
      <x:c r="G50" s="46" t="str">
        <x:f t="shared" si="5"/>
      </x:c>
      <x:c r="H50" s="45"/>
      <x:c r="I50" s="46" t="str">
        <x:f t="shared" si="6"/>
      </x:c>
      <x:c r="J50" s="40" t="str">
        <x:f t="shared" si="7"/>
      </x:c>
      <x:c r="K50" s="103"/>
      <x:c r="L50" s="42"/>
      <x:c r="M50" s="42"/>
      <x:c r="N50" s="42"/>
    </x:row>
    <x:row r="51" ht="23" customHeight="1">
      <x:c r="A51" s="42"/>
      <x:c r="B51" s="103"/>
      <x:c r="C51" s="104" t="str">
        <x:f t="shared" si="4"/>
      </x:c>
      <x:c r="D51" s="45"/>
      <x:c r="E51" s="45"/>
      <x:c r="F51" s="45"/>
      <x:c r="G51" s="46" t="str">
        <x:f t="shared" si="5"/>
      </x:c>
      <x:c r="H51" s="45"/>
      <x:c r="I51" s="46" t="str">
        <x:f t="shared" si="6"/>
      </x:c>
      <x:c r="J51" s="40" t="str">
        <x:f t="shared" si="7"/>
      </x:c>
      <x:c r="K51" s="103"/>
      <x:c r="L51" s="42"/>
      <x:c r="M51" s="42"/>
      <x:c r="N51" s="42"/>
    </x:row>
    <x:row r="52" ht="23" customHeight="1">
      <x:c r="A52" s="42"/>
      <x:c r="B52" s="103"/>
      <x:c r="C52" s="104" t="str">
        <x:f t="shared" si="4"/>
      </x:c>
      <x:c r="D52" s="45"/>
      <x:c r="E52" s="45"/>
      <x:c r="F52" s="45"/>
      <x:c r="G52" s="46" t="str">
        <x:f t="shared" si="5"/>
      </x:c>
      <x:c r="H52" s="45"/>
      <x:c r="I52" s="46" t="str">
        <x:f t="shared" si="6"/>
      </x:c>
      <x:c r="J52" s="40" t="str">
        <x:f t="shared" si="7"/>
      </x:c>
      <x:c r="K52" s="103"/>
      <x:c r="L52" s="42"/>
      <x:c r="M52" s="42"/>
      <x:c r="N52" s="42"/>
    </x:row>
    <x:row r="53" ht="23" customHeight="1">
      <x:c r="A53" s="42"/>
      <x:c r="B53" s="103"/>
      <x:c r="C53" s="104" t="str">
        <x:f t="shared" si="4"/>
      </x:c>
      <x:c r="D53" s="45"/>
      <x:c r="E53" s="45"/>
      <x:c r="F53" s="45"/>
      <x:c r="G53" s="46" t="str">
        <x:f t="shared" si="5"/>
      </x:c>
      <x:c r="H53" s="45"/>
      <x:c r="I53" s="46" t="str">
        <x:f t="shared" si="6"/>
      </x:c>
      <x:c r="J53" s="40" t="str">
        <x:f t="shared" si="7"/>
      </x:c>
      <x:c r="K53" s="103"/>
      <x:c r="L53" s="42"/>
      <x:c r="M53" s="42"/>
      <x:c r="N53" s="42"/>
    </x:row>
    <x:row r="54" ht="23" customHeight="1">
      <x:c r="A54" s="42"/>
      <x:c r="B54" s="103"/>
      <x:c r="C54" s="104" t="str">
        <x:f t="shared" si="4"/>
      </x:c>
      <x:c r="D54" s="45"/>
      <x:c r="E54" s="45"/>
      <x:c r="F54" s="45"/>
      <x:c r="G54" s="46" t="str">
        <x:f t="shared" si="5"/>
      </x:c>
      <x:c r="H54" s="45"/>
      <x:c r="I54" s="46" t="str">
        <x:f t="shared" si="6"/>
      </x:c>
      <x:c r="J54" s="40" t="str">
        <x:f t="shared" si="7"/>
      </x:c>
      <x:c r="K54" s="103"/>
      <x:c r="L54" s="42"/>
      <x:c r="M54" s="42"/>
      <x:c r="N54" s="42"/>
    </x:row>
    <x:row r="55" ht="23" customHeight="1">
      <x:c r="A55" s="42"/>
      <x:c r="B55" s="103"/>
      <x:c r="C55" s="104" t="str">
        <x:f t="shared" si="4"/>
      </x:c>
      <x:c r="D55" s="45"/>
      <x:c r="E55" s="45"/>
      <x:c r="F55" s="45"/>
      <x:c r="G55" s="46" t="str">
        <x:f t="shared" si="5"/>
      </x:c>
      <x:c r="H55" s="45"/>
      <x:c r="I55" s="46" t="str">
        <x:f t="shared" si="6"/>
      </x:c>
      <x:c r="J55" s="40" t="str">
        <x:f t="shared" si="7"/>
      </x:c>
      <x:c r="K55" s="103"/>
      <x:c r="L55" s="42"/>
      <x:c r="M55" s="42"/>
      <x:c r="N55" s="42"/>
    </x:row>
    <x:row r="56" ht="23" customHeight="1">
      <x:c r="A56" s="42"/>
      <x:c r="B56" s="103"/>
      <x:c r="C56" s="104" t="str">
        <x:f t="shared" si="4"/>
      </x:c>
      <x:c r="D56" s="45"/>
      <x:c r="E56" s="45"/>
      <x:c r="F56" s="45"/>
      <x:c r="G56" s="46" t="str">
        <x:f t="shared" si="5"/>
      </x:c>
      <x:c r="H56" s="45"/>
      <x:c r="I56" s="46" t="str">
        <x:f t="shared" si="6"/>
      </x:c>
      <x:c r="J56" s="40" t="str">
        <x:f t="shared" si="7"/>
      </x:c>
      <x:c r="K56" s="103"/>
      <x:c r="L56" s="42"/>
      <x:c r="M56" s="42"/>
      <x:c r="N56" s="42"/>
    </x:row>
    <x:row r="57" ht="23" customHeight="1">
      <x:c r="A57" s="42"/>
      <x:c r="B57" s="103"/>
      <x:c r="C57" s="104" t="str">
        <x:f t="shared" si="4"/>
      </x:c>
      <x:c r="D57" s="45"/>
      <x:c r="E57" s="45"/>
      <x:c r="F57" s="45"/>
      <x:c r="G57" s="46" t="str">
        <x:f t="shared" si="5"/>
      </x:c>
      <x:c r="H57" s="45"/>
      <x:c r="I57" s="46" t="str">
        <x:f t="shared" si="6"/>
      </x:c>
      <x:c r="J57" s="40" t="str">
        <x:f t="shared" si="7"/>
      </x:c>
      <x:c r="K57" s="103"/>
      <x:c r="L57" s="42"/>
      <x:c r="M57" s="42"/>
      <x:c r="N57" s="42"/>
    </x:row>
    <x:row r="58" ht="23" customHeight="1">
      <x:c r="A58" s="42"/>
      <x:c r="B58" s="103"/>
      <x:c r="C58" s="104" t="str">
        <x:f t="shared" si="4"/>
      </x:c>
      <x:c r="D58" s="45"/>
      <x:c r="E58" s="45"/>
      <x:c r="F58" s="45"/>
      <x:c r="G58" s="46" t="str">
        <x:f t="shared" si="5"/>
      </x:c>
      <x:c r="H58" s="45"/>
      <x:c r="I58" s="46" t="str">
        <x:f t="shared" si="6"/>
      </x:c>
      <x:c r="J58" s="40" t="str">
        <x:f t="shared" si="7"/>
      </x:c>
      <x:c r="K58" s="103"/>
      <x:c r="L58" s="42"/>
      <x:c r="M58" s="42"/>
      <x:c r="N58" s="42"/>
    </x:row>
    <x:row r="59" ht="23" customHeight="1">
      <x:c r="A59" s="42"/>
      <x:c r="B59" s="103"/>
      <x:c r="C59" s="104" t="str">
        <x:f t="shared" si="4"/>
      </x:c>
      <x:c r="D59" s="45"/>
      <x:c r="E59" s="45"/>
      <x:c r="F59" s="45"/>
      <x:c r="G59" s="46" t="str">
        <x:f t="shared" si="5"/>
      </x:c>
      <x:c r="H59" s="45"/>
      <x:c r="I59" s="46" t="str">
        <x:f t="shared" si="6"/>
      </x:c>
      <x:c r="J59" s="40" t="str">
        <x:f t="shared" si="7"/>
      </x:c>
      <x:c r="K59" s="103"/>
      <x:c r="L59" s="42"/>
      <x:c r="M59" s="42"/>
      <x:c r="N59" s="42"/>
    </x:row>
    <x:row r="60" ht="23" customHeight="1">
      <x:c r="A60" s="42"/>
      <x:c r="B60" s="103"/>
      <x:c r="C60" s="104" t="str">
        <x:f t="shared" si="4"/>
      </x:c>
      <x:c r="D60" s="45"/>
      <x:c r="E60" s="45"/>
      <x:c r="F60" s="45"/>
      <x:c r="G60" s="46" t="str">
        <x:f t="shared" si="5"/>
      </x:c>
      <x:c r="H60" s="45"/>
      <x:c r="I60" s="46" t="str">
        <x:f t="shared" si="6"/>
      </x:c>
      <x:c r="J60" s="40" t="str">
        <x:f t="shared" si="7"/>
      </x:c>
      <x:c r="K60" s="103"/>
      <x:c r="L60" s="42"/>
      <x:c r="M60" s="42"/>
      <x:c r="N60" s="42"/>
    </x:row>
    <x:row r="61" ht="23" customHeight="1">
      <x:c r="A61" s="42"/>
      <x:c r="B61" s="103"/>
      <x:c r="C61" s="104" t="str">
        <x:f t="shared" si="4"/>
      </x:c>
      <x:c r="D61" s="45"/>
      <x:c r="E61" s="45"/>
      <x:c r="F61" s="45"/>
      <x:c r="G61" s="46" t="str">
        <x:f t="shared" si="5"/>
      </x:c>
      <x:c r="H61" s="45"/>
      <x:c r="I61" s="46" t="str">
        <x:f t="shared" si="6"/>
      </x:c>
      <x:c r="J61" s="40" t="str">
        <x:f t="shared" si="7"/>
      </x:c>
      <x:c r="K61" s="103"/>
      <x:c r="L61" s="42"/>
      <x:c r="M61" s="42"/>
      <x:c r="N61" s="42"/>
    </x:row>
    <x:row r="62" ht="23" customHeight="1">
      <x:c r="A62" s="42"/>
      <x:c r="B62" s="103"/>
      <x:c r="C62" s="104" t="str">
        <x:f t="shared" si="4"/>
      </x:c>
      <x:c r="D62" s="45"/>
      <x:c r="E62" s="45"/>
      <x:c r="F62" s="45"/>
      <x:c r="G62" s="46" t="str">
        <x:f t="shared" si="5"/>
      </x:c>
      <x:c r="H62" s="45"/>
      <x:c r="I62" s="46" t="str">
        <x:f t="shared" si="6"/>
      </x:c>
      <x:c r="J62" s="40" t="str">
        <x:f t="shared" si="7"/>
      </x:c>
      <x:c r="K62" s="103"/>
      <x:c r="L62" s="42"/>
      <x:c r="M62" s="42"/>
      <x:c r="N62" s="42"/>
    </x:row>
    <x:row r="63" ht="23" customHeight="1">
      <x:c r="A63" s="42"/>
      <x:c r="B63" s="103"/>
      <x:c r="C63" s="104" t="str">
        <x:f t="shared" si="4"/>
      </x:c>
      <x:c r="D63" s="45"/>
      <x:c r="E63" s="45"/>
      <x:c r="F63" s="45"/>
      <x:c r="G63" s="46" t="str">
        <x:f t="shared" si="5"/>
      </x:c>
      <x:c r="H63" s="45"/>
      <x:c r="I63" s="46" t="str">
        <x:f t="shared" si="6"/>
      </x:c>
      <x:c r="J63" s="40" t="str">
        <x:f t="shared" si="7"/>
      </x:c>
      <x:c r="K63" s="103"/>
      <x:c r="L63" s="42"/>
      <x:c r="M63" s="42"/>
      <x:c r="N63" s="42"/>
    </x:row>
    <x:row r="64" ht="23" customHeight="1">
      <x:c r="A64" s="42"/>
      <x:c r="B64" s="103"/>
      <x:c r="C64" s="104" t="str">
        <x:f t="shared" si="4"/>
      </x:c>
      <x:c r="D64" s="45"/>
      <x:c r="E64" s="45"/>
      <x:c r="F64" s="45"/>
      <x:c r="G64" s="46" t="str">
        <x:f t="shared" si="5"/>
      </x:c>
      <x:c r="H64" s="45"/>
      <x:c r="I64" s="46" t="str">
        <x:f t="shared" si="6"/>
      </x:c>
      <x:c r="J64" s="40" t="str">
        <x:f t="shared" si="7"/>
      </x:c>
      <x:c r="K64" s="103"/>
      <x:c r="L64" s="42"/>
      <x:c r="M64" s="42"/>
      <x:c r="N64" s="42"/>
    </x:row>
    <x:row r="65" ht="23" customHeight="1">
      <x:c r="A65" s="42"/>
      <x:c r="B65" s="103"/>
      <x:c r="C65" s="104" t="str">
        <x:f t="shared" si="4"/>
      </x:c>
      <x:c r="D65" s="45"/>
      <x:c r="E65" s="45"/>
      <x:c r="F65" s="45"/>
      <x:c r="G65" s="46" t="str">
        <x:f t="shared" si="5"/>
      </x:c>
      <x:c r="H65" s="45"/>
      <x:c r="I65" s="46" t="str">
        <x:f t="shared" si="6"/>
      </x:c>
      <x:c r="J65" s="40" t="str">
        <x:f t="shared" si="7"/>
      </x:c>
      <x:c r="K65" s="103"/>
      <x:c r="L65" s="42"/>
      <x:c r="M65" s="42"/>
      <x:c r="N65" s="42"/>
    </x:row>
    <x:row r="66" ht="23" customHeight="1">
      <x:c r="A66" s="42"/>
      <x:c r="B66" s="103"/>
      <x:c r="C66" s="104" t="str">
        <x:f t="shared" si="4"/>
      </x:c>
      <x:c r="D66" s="45"/>
      <x:c r="E66" s="45"/>
      <x:c r="F66" s="45"/>
      <x:c r="G66" s="46" t="str">
        <x:f t="shared" si="5"/>
      </x:c>
      <x:c r="H66" s="45"/>
      <x:c r="I66" s="46" t="str">
        <x:f t="shared" si="6"/>
      </x:c>
      <x:c r="J66" s="40" t="str">
        <x:f t="shared" si="7"/>
      </x:c>
      <x:c r="K66" s="103"/>
      <x:c r="L66" s="42"/>
      <x:c r="M66" s="42"/>
      <x:c r="N66" s="42"/>
    </x:row>
    <x:row r="67" ht="23" customHeight="1">
      <x:c r="A67" s="42"/>
      <x:c r="B67" s="103"/>
      <x:c r="C67" s="104" t="str">
        <x:f t="shared" si="4"/>
      </x:c>
      <x:c r="D67" s="45"/>
      <x:c r="E67" s="45"/>
      <x:c r="F67" s="45"/>
      <x:c r="G67" s="46" t="str">
        <x:f t="shared" si="5"/>
      </x:c>
      <x:c r="H67" s="45"/>
      <x:c r="I67" s="46" t="str">
        <x:f t="shared" si="6"/>
      </x:c>
      <x:c r="J67" s="40" t="str">
        <x:f t="shared" si="7"/>
      </x:c>
      <x:c r="K67" s="103"/>
      <x:c r="L67" s="42"/>
      <x:c r="M67" s="42"/>
      <x:c r="N67" s="42"/>
    </x:row>
    <x:row r="68" ht="23" customHeight="1">
      <x:c r="A68" s="42"/>
      <x:c r="B68" s="103"/>
      <x:c r="C68" s="104" t="str">
        <x:f t="shared" si="4"/>
      </x:c>
      <x:c r="D68" s="45"/>
      <x:c r="E68" s="45"/>
      <x:c r="F68" s="45"/>
      <x:c r="G68" s="46" t="str">
        <x:f t="shared" si="5"/>
      </x:c>
      <x:c r="H68" s="45"/>
      <x:c r="I68" s="46" t="str">
        <x:f t="shared" si="6"/>
      </x:c>
      <x:c r="J68" s="40" t="str">
        <x:f t="shared" si="7"/>
      </x:c>
      <x:c r="K68" s="103"/>
      <x:c r="L68" s="42"/>
      <x:c r="M68" s="42"/>
      <x:c r="N68" s="42"/>
    </x:row>
    <x:row r="69" ht="23" customHeight="1">
      <x:c r="A69" s="42"/>
      <x:c r="B69" s="103"/>
      <x:c r="C69" s="104" t="str">
        <x:f t="shared" si="4"/>
      </x:c>
      <x:c r="D69" s="45"/>
      <x:c r="E69" s="45"/>
      <x:c r="F69" s="45"/>
      <x:c r="G69" s="46" t="str">
        <x:f t="shared" si="5"/>
      </x:c>
      <x:c r="H69" s="45"/>
      <x:c r="I69" s="46" t="str">
        <x:f t="shared" si="6"/>
      </x:c>
      <x:c r="J69" s="40" t="str">
        <x:f t="shared" si="7"/>
      </x:c>
      <x:c r="K69" s="103"/>
      <x:c r="L69" s="42"/>
      <x:c r="M69" s="42"/>
      <x:c r="N69" s="42"/>
    </x:row>
    <x:row r="70" ht="23" customHeight="1">
      <x:c r="A70" s="42"/>
      <x:c r="B70" s="103"/>
      <x:c r="C70" s="104" t="str">
        <x:f t="shared" si="4"/>
      </x:c>
      <x:c r="D70" s="45"/>
      <x:c r="E70" s="45"/>
      <x:c r="F70" s="45"/>
      <x:c r="G70" s="46" t="str">
        <x:f t="shared" si="5"/>
      </x:c>
      <x:c r="H70" s="45"/>
      <x:c r="I70" s="46" t="str">
        <x:f t="shared" si="6"/>
      </x:c>
      <x:c r="J70" s="40" t="str">
        <x:f t="shared" si="7"/>
      </x:c>
      <x:c r="K70" s="103"/>
      <x:c r="L70" s="42"/>
      <x:c r="M70" s="42"/>
      <x:c r="N70" s="42"/>
    </x:row>
    <x:row r="71" ht="23" customHeight="1">
      <x:c r="A71" s="42"/>
      <x:c r="B71" s="103"/>
      <x:c r="C71" s="104" t="str">
        <x:f t="shared" si="4"/>
      </x:c>
      <x:c r="D71" s="45"/>
      <x:c r="E71" s="45"/>
      <x:c r="F71" s="45"/>
      <x:c r="G71" s="46" t="str">
        <x:f t="shared" si="5"/>
      </x:c>
      <x:c r="H71" s="45"/>
      <x:c r="I71" s="46" t="str">
        <x:f t="shared" si="6"/>
      </x:c>
      <x:c r="J71" s="40" t="str">
        <x:f t="shared" si="7"/>
      </x:c>
      <x:c r="K71" s="103"/>
      <x:c r="L71" s="42"/>
      <x:c r="M71" s="42"/>
      <x:c r="N71" s="42"/>
    </x:row>
    <x:row r="72" ht="23" customHeight="1">
      <x:c r="A72" s="42"/>
      <x:c r="B72" s="103"/>
      <x:c r="C72" s="104" t="str">
        <x:f t="shared" si="4"/>
      </x:c>
      <x:c r="D72" s="45"/>
      <x:c r="E72" s="45"/>
      <x:c r="F72" s="45"/>
      <x:c r="G72" s="46" t="str">
        <x:f t="shared" si="5"/>
      </x:c>
      <x:c r="H72" s="45"/>
      <x:c r="I72" s="46" t="str">
        <x:f t="shared" si="6"/>
      </x:c>
      <x:c r="J72" s="40" t="str">
        <x:f t="shared" si="7"/>
      </x:c>
      <x:c r="K72" s="103"/>
      <x:c r="L72" s="42"/>
      <x:c r="M72" s="42"/>
      <x:c r="N72" s="42"/>
    </x:row>
    <x:row r="73" ht="23" customHeight="1">
      <x:c r="A73" s="42"/>
      <x:c r="B73" s="103"/>
      <x:c r="C73" s="104" t="str">
        <x:f t="shared" si="4"/>
      </x:c>
      <x:c r="D73" s="45"/>
      <x:c r="E73" s="45"/>
      <x:c r="F73" s="45"/>
      <x:c r="G73" s="46" t="str">
        <x:f t="shared" si="5"/>
      </x:c>
      <x:c r="H73" s="45"/>
      <x:c r="I73" s="46" t="str">
        <x:f t="shared" si="6"/>
      </x:c>
      <x:c r="J73" s="40" t="str">
        <x:f t="shared" si="7"/>
      </x:c>
      <x:c r="K73" s="103"/>
      <x:c r="L73" s="42"/>
      <x:c r="M73" s="42"/>
      <x:c r="N73" s="42"/>
    </x:row>
    <x:row r="74" ht="23" customHeight="1">
      <x:c r="A74" s="42"/>
      <x:c r="B74" s="103"/>
      <x:c r="C74" s="104" t="str">
        <x:f t="shared" si="4"/>
      </x:c>
      <x:c r="D74" s="45"/>
      <x:c r="E74" s="45"/>
      <x:c r="F74" s="45"/>
      <x:c r="G74" s="46" t="str">
        <x:f t="shared" si="5"/>
      </x:c>
      <x:c r="H74" s="45"/>
      <x:c r="I74" s="46" t="str">
        <x:f t="shared" si="6"/>
      </x:c>
      <x:c r="J74" s="40" t="str">
        <x:f t="shared" si="7"/>
      </x:c>
      <x:c r="K74" s="103"/>
      <x:c r="L74" s="42"/>
      <x:c r="M74" s="42"/>
      <x:c r="N74" s="42"/>
    </x:row>
    <x:row r="75" ht="23" customHeight="1">
      <x:c r="A75" s="42"/>
      <x:c r="B75" s="103"/>
      <x:c r="C75" s="104" t="str">
        <x:f t="shared" si="4"/>
      </x:c>
      <x:c r="D75" s="45"/>
      <x:c r="E75" s="45"/>
      <x:c r="F75" s="45"/>
      <x:c r="G75" s="46" t="str">
        <x:f t="shared" si="5"/>
      </x:c>
      <x:c r="H75" s="45"/>
      <x:c r="I75" s="46" t="str">
        <x:f t="shared" si="6"/>
      </x:c>
      <x:c r="J75" s="40" t="str">
        <x:f t="shared" si="7"/>
      </x:c>
      <x:c r="K75" s="103"/>
      <x:c r="L75" s="42"/>
      <x:c r="M75" s="42"/>
      <x:c r="N75" s="42"/>
    </x:row>
    <x:row r="76" ht="23" customHeight="1">
      <x:c r="A76" s="42"/>
      <x:c r="B76" s="103"/>
      <x:c r="C76" s="104" t="str">
        <x:f t="shared" ref="C76:C107" si="8">IF(B76="","",B76+13)</x:f>
      </x:c>
      <x:c r="D76" s="45"/>
      <x:c r="E76" s="45"/>
      <x:c r="F76" s="45"/>
      <x:c r="G76" s="46" t="str">
        <x:f t="shared" ref="G76:G107" si="9">IF(OR(A76="",D76="",E76="",F76=""),"",ROUND(D76-E76+F76,2))</x:f>
      </x:c>
      <x:c r="H76" s="45"/>
      <x:c r="I76" s="46" t="str">
        <x:f t="shared" ref="I76:I107" si="10">IF(OR(G76="",H76=""),"",ROUND(G76-H76,2))</x:f>
      </x:c>
      <x:c r="J76" s="40" t="str">
        <x:f t="shared" ref="J76:J107" si="11">IF(A76="","",IF(OR(B76="",G76="",H76=""),"Thiếu thông tin",IF(I76&lt;0,"Trả thừa",IF(I76&gt;0,IF(H76=0,"Chưa trả","Trả một phần"),IF(OR(K76="",L76=""),"Bổ sung thông tin trả","Đã trả")))))</x:f>
      </x:c>
      <x:c r="K76" s="103"/>
      <x:c r="L76" s="42"/>
      <x:c r="M76" s="42"/>
      <x:c r="N76" s="42"/>
    </x:row>
    <x:row r="77" ht="23" customHeight="1">
      <x:c r="A77" s="42"/>
      <x:c r="B77" s="103"/>
      <x:c r="C77" s="104" t="str">
        <x:f t="shared" si="8"/>
      </x:c>
      <x:c r="D77" s="45"/>
      <x:c r="E77" s="45"/>
      <x:c r="F77" s="45"/>
      <x:c r="G77" s="46" t="str">
        <x:f t="shared" si="9"/>
      </x:c>
      <x:c r="H77" s="45"/>
      <x:c r="I77" s="46" t="str">
        <x:f t="shared" si="10"/>
      </x:c>
      <x:c r="J77" s="40" t="str">
        <x:f t="shared" si="11"/>
      </x:c>
      <x:c r="K77" s="103"/>
      <x:c r="L77" s="42"/>
      <x:c r="M77" s="42"/>
      <x:c r="N77" s="42"/>
    </x:row>
    <x:row r="78" ht="23" customHeight="1">
      <x:c r="A78" s="42"/>
      <x:c r="B78" s="103"/>
      <x:c r="C78" s="104" t="str">
        <x:f t="shared" si="8"/>
      </x:c>
      <x:c r="D78" s="45"/>
      <x:c r="E78" s="45"/>
      <x:c r="F78" s="45"/>
      <x:c r="G78" s="46" t="str">
        <x:f t="shared" si="9"/>
      </x:c>
      <x:c r="H78" s="45"/>
      <x:c r="I78" s="46" t="str">
        <x:f t="shared" si="10"/>
      </x:c>
      <x:c r="J78" s="40" t="str">
        <x:f t="shared" si="11"/>
      </x:c>
      <x:c r="K78" s="103"/>
      <x:c r="L78" s="42"/>
      <x:c r="M78" s="42"/>
      <x:c r="N78" s="42"/>
    </x:row>
    <x:row r="79" ht="23" customHeight="1">
      <x:c r="A79" s="42"/>
      <x:c r="B79" s="103"/>
      <x:c r="C79" s="104" t="str">
        <x:f t="shared" si="8"/>
      </x:c>
      <x:c r="D79" s="45"/>
      <x:c r="E79" s="45"/>
      <x:c r="F79" s="45"/>
      <x:c r="G79" s="46" t="str">
        <x:f t="shared" si="9"/>
      </x:c>
      <x:c r="H79" s="45"/>
      <x:c r="I79" s="46" t="str">
        <x:f t="shared" si="10"/>
      </x:c>
      <x:c r="J79" s="40" t="str">
        <x:f t="shared" si="11"/>
      </x:c>
      <x:c r="K79" s="103"/>
      <x:c r="L79" s="42"/>
      <x:c r="M79" s="42"/>
      <x:c r="N79" s="42"/>
    </x:row>
    <x:row r="80" ht="23" customHeight="1">
      <x:c r="A80" s="42"/>
      <x:c r="B80" s="103"/>
      <x:c r="C80" s="104" t="str">
        <x:f t="shared" si="8"/>
      </x:c>
      <x:c r="D80" s="45"/>
      <x:c r="E80" s="45"/>
      <x:c r="F80" s="45"/>
      <x:c r="G80" s="46" t="str">
        <x:f t="shared" si="9"/>
      </x:c>
      <x:c r="H80" s="45"/>
      <x:c r="I80" s="46" t="str">
        <x:f t="shared" si="10"/>
      </x:c>
      <x:c r="J80" s="40" t="str">
        <x:f t="shared" si="11"/>
      </x:c>
      <x:c r="K80" s="103"/>
      <x:c r="L80" s="42"/>
      <x:c r="M80" s="42"/>
      <x:c r="N80" s="42"/>
    </x:row>
    <x:row r="81" ht="23" customHeight="1">
      <x:c r="A81" s="42"/>
      <x:c r="B81" s="103"/>
      <x:c r="C81" s="104" t="str">
        <x:f t="shared" si="8"/>
      </x:c>
      <x:c r="D81" s="45"/>
      <x:c r="E81" s="45"/>
      <x:c r="F81" s="45"/>
      <x:c r="G81" s="46" t="str">
        <x:f t="shared" si="9"/>
      </x:c>
      <x:c r="H81" s="45"/>
      <x:c r="I81" s="46" t="str">
        <x:f t="shared" si="10"/>
      </x:c>
      <x:c r="J81" s="40" t="str">
        <x:f t="shared" si="11"/>
      </x:c>
      <x:c r="K81" s="103"/>
      <x:c r="L81" s="42"/>
      <x:c r="M81" s="42"/>
      <x:c r="N81" s="42"/>
    </x:row>
    <x:row r="82" ht="23" customHeight="1">
      <x:c r="A82" s="42"/>
      <x:c r="B82" s="103"/>
      <x:c r="C82" s="104" t="str">
        <x:f t="shared" si="8"/>
      </x:c>
      <x:c r="D82" s="45"/>
      <x:c r="E82" s="45"/>
      <x:c r="F82" s="45"/>
      <x:c r="G82" s="46" t="str">
        <x:f t="shared" si="9"/>
      </x:c>
      <x:c r="H82" s="45"/>
      <x:c r="I82" s="46" t="str">
        <x:f t="shared" si="10"/>
      </x:c>
      <x:c r="J82" s="40" t="str">
        <x:f t="shared" si="11"/>
      </x:c>
      <x:c r="K82" s="103"/>
      <x:c r="L82" s="42"/>
      <x:c r="M82" s="42"/>
      <x:c r="N82" s="42"/>
    </x:row>
    <x:row r="83" ht="23" customHeight="1">
      <x:c r="A83" s="42"/>
      <x:c r="B83" s="103"/>
      <x:c r="C83" s="104" t="str">
        <x:f t="shared" si="8"/>
      </x:c>
      <x:c r="D83" s="45"/>
      <x:c r="E83" s="45"/>
      <x:c r="F83" s="45"/>
      <x:c r="G83" s="46" t="str">
        <x:f t="shared" si="9"/>
      </x:c>
      <x:c r="H83" s="45"/>
      <x:c r="I83" s="46" t="str">
        <x:f t="shared" si="10"/>
      </x:c>
      <x:c r="J83" s="40" t="str">
        <x:f t="shared" si="11"/>
      </x:c>
      <x:c r="K83" s="103"/>
      <x:c r="L83" s="42"/>
      <x:c r="M83" s="42"/>
      <x:c r="N83" s="42"/>
    </x:row>
    <x:row r="84" ht="23" customHeight="1">
      <x:c r="A84" s="42"/>
      <x:c r="B84" s="103"/>
      <x:c r="C84" s="104" t="str">
        <x:f t="shared" si="8"/>
      </x:c>
      <x:c r="D84" s="45"/>
      <x:c r="E84" s="45"/>
      <x:c r="F84" s="45"/>
      <x:c r="G84" s="46" t="str">
        <x:f t="shared" si="9"/>
      </x:c>
      <x:c r="H84" s="45"/>
      <x:c r="I84" s="46" t="str">
        <x:f t="shared" si="10"/>
      </x:c>
      <x:c r="J84" s="40" t="str">
        <x:f t="shared" si="11"/>
      </x:c>
      <x:c r="K84" s="103"/>
      <x:c r="L84" s="42"/>
      <x:c r="M84" s="42"/>
      <x:c r="N84" s="42"/>
    </x:row>
    <x:row r="85" ht="23" customHeight="1">
      <x:c r="A85" s="42"/>
      <x:c r="B85" s="103"/>
      <x:c r="C85" s="104" t="str">
        <x:f t="shared" si="8"/>
      </x:c>
      <x:c r="D85" s="45"/>
      <x:c r="E85" s="45"/>
      <x:c r="F85" s="45"/>
      <x:c r="G85" s="46" t="str">
        <x:f t="shared" si="9"/>
      </x:c>
      <x:c r="H85" s="45"/>
      <x:c r="I85" s="46" t="str">
        <x:f t="shared" si="10"/>
      </x:c>
      <x:c r="J85" s="40" t="str">
        <x:f t="shared" si="11"/>
      </x:c>
      <x:c r="K85" s="103"/>
      <x:c r="L85" s="42"/>
      <x:c r="M85" s="42"/>
      <x:c r="N85" s="42"/>
    </x:row>
    <x:row r="86" ht="23" customHeight="1">
      <x:c r="A86" s="42"/>
      <x:c r="B86" s="103"/>
      <x:c r="C86" s="104" t="str">
        <x:f t="shared" si="8"/>
      </x:c>
      <x:c r="D86" s="45"/>
      <x:c r="E86" s="45"/>
      <x:c r="F86" s="45"/>
      <x:c r="G86" s="46" t="str">
        <x:f t="shared" si="9"/>
      </x:c>
      <x:c r="H86" s="45"/>
      <x:c r="I86" s="46" t="str">
        <x:f t="shared" si="10"/>
      </x:c>
      <x:c r="J86" s="40" t="str">
        <x:f t="shared" si="11"/>
      </x:c>
      <x:c r="K86" s="103"/>
      <x:c r="L86" s="42"/>
      <x:c r="M86" s="42"/>
      <x:c r="N86" s="42"/>
    </x:row>
    <x:row r="87" ht="23" customHeight="1">
      <x:c r="A87" s="42"/>
      <x:c r="B87" s="103"/>
      <x:c r="C87" s="104" t="str">
        <x:f t="shared" si="8"/>
      </x:c>
      <x:c r="D87" s="45"/>
      <x:c r="E87" s="45"/>
      <x:c r="F87" s="45"/>
      <x:c r="G87" s="46" t="str">
        <x:f t="shared" si="9"/>
      </x:c>
      <x:c r="H87" s="45"/>
      <x:c r="I87" s="46" t="str">
        <x:f t="shared" si="10"/>
      </x:c>
      <x:c r="J87" s="40" t="str">
        <x:f t="shared" si="11"/>
      </x:c>
      <x:c r="K87" s="103"/>
      <x:c r="L87" s="42"/>
      <x:c r="M87" s="42"/>
      <x:c r="N87" s="42"/>
    </x:row>
    <x:row r="88" ht="23" customHeight="1">
      <x:c r="A88" s="42"/>
      <x:c r="B88" s="103"/>
      <x:c r="C88" s="104" t="str">
        <x:f t="shared" si="8"/>
      </x:c>
      <x:c r="D88" s="45"/>
      <x:c r="E88" s="45"/>
      <x:c r="F88" s="45"/>
      <x:c r="G88" s="46" t="str">
        <x:f t="shared" si="9"/>
      </x:c>
      <x:c r="H88" s="45"/>
      <x:c r="I88" s="46" t="str">
        <x:f t="shared" si="10"/>
      </x:c>
      <x:c r="J88" s="40" t="str">
        <x:f t="shared" si="11"/>
      </x:c>
      <x:c r="K88" s="103"/>
      <x:c r="L88" s="42"/>
      <x:c r="M88" s="42"/>
      <x:c r="N88" s="42"/>
    </x:row>
    <x:row r="89" ht="23" customHeight="1">
      <x:c r="A89" s="42"/>
      <x:c r="B89" s="103"/>
      <x:c r="C89" s="104" t="str">
        <x:f t="shared" si="8"/>
      </x:c>
      <x:c r="D89" s="45"/>
      <x:c r="E89" s="45"/>
      <x:c r="F89" s="45"/>
      <x:c r="G89" s="46" t="str">
        <x:f t="shared" si="9"/>
      </x:c>
      <x:c r="H89" s="45"/>
      <x:c r="I89" s="46" t="str">
        <x:f t="shared" si="10"/>
      </x:c>
      <x:c r="J89" s="40" t="str">
        <x:f t="shared" si="11"/>
      </x:c>
      <x:c r="K89" s="103"/>
      <x:c r="L89" s="42"/>
      <x:c r="M89" s="42"/>
      <x:c r="N89" s="42"/>
    </x:row>
    <x:row r="90" ht="23" customHeight="1">
      <x:c r="A90" s="42"/>
      <x:c r="B90" s="103"/>
      <x:c r="C90" s="104" t="str">
        <x:f t="shared" si="8"/>
      </x:c>
      <x:c r="D90" s="45"/>
      <x:c r="E90" s="45"/>
      <x:c r="F90" s="45"/>
      <x:c r="G90" s="46" t="str">
        <x:f t="shared" si="9"/>
      </x:c>
      <x:c r="H90" s="45"/>
      <x:c r="I90" s="46" t="str">
        <x:f t="shared" si="10"/>
      </x:c>
      <x:c r="J90" s="40" t="str">
        <x:f t="shared" si="11"/>
      </x:c>
      <x:c r="K90" s="103"/>
      <x:c r="L90" s="42"/>
      <x:c r="M90" s="42"/>
      <x:c r="N90" s="42"/>
    </x:row>
    <x:row r="91" ht="23" customHeight="1">
      <x:c r="A91" s="42"/>
      <x:c r="B91" s="103"/>
      <x:c r="C91" s="104" t="str">
        <x:f t="shared" si="8"/>
      </x:c>
      <x:c r="D91" s="45"/>
      <x:c r="E91" s="45"/>
      <x:c r="F91" s="45"/>
      <x:c r="G91" s="46" t="str">
        <x:f t="shared" si="9"/>
      </x:c>
      <x:c r="H91" s="45"/>
      <x:c r="I91" s="46" t="str">
        <x:f t="shared" si="10"/>
      </x:c>
      <x:c r="J91" s="40" t="str">
        <x:f t="shared" si="11"/>
      </x:c>
      <x:c r="K91" s="103"/>
      <x:c r="L91" s="42"/>
      <x:c r="M91" s="42"/>
      <x:c r="N91" s="42"/>
    </x:row>
    <x:row r="92" ht="23" customHeight="1">
      <x:c r="A92" s="42"/>
      <x:c r="B92" s="103"/>
      <x:c r="C92" s="104" t="str">
        <x:f t="shared" si="8"/>
      </x:c>
      <x:c r="D92" s="45"/>
      <x:c r="E92" s="45"/>
      <x:c r="F92" s="45"/>
      <x:c r="G92" s="46" t="str">
        <x:f t="shared" si="9"/>
      </x:c>
      <x:c r="H92" s="45"/>
      <x:c r="I92" s="46" t="str">
        <x:f t="shared" si="10"/>
      </x:c>
      <x:c r="J92" s="40" t="str">
        <x:f t="shared" si="11"/>
      </x:c>
      <x:c r="K92" s="103"/>
      <x:c r="L92" s="42"/>
      <x:c r="M92" s="42"/>
      <x:c r="N92" s="42"/>
    </x:row>
    <x:row r="93" ht="23" customHeight="1">
      <x:c r="A93" s="42"/>
      <x:c r="B93" s="103"/>
      <x:c r="C93" s="104" t="str">
        <x:f t="shared" si="8"/>
      </x:c>
      <x:c r="D93" s="45"/>
      <x:c r="E93" s="45"/>
      <x:c r="F93" s="45"/>
      <x:c r="G93" s="46" t="str">
        <x:f t="shared" si="9"/>
      </x:c>
      <x:c r="H93" s="45"/>
      <x:c r="I93" s="46" t="str">
        <x:f t="shared" si="10"/>
      </x:c>
      <x:c r="J93" s="40" t="str">
        <x:f t="shared" si="11"/>
      </x:c>
      <x:c r="K93" s="103"/>
      <x:c r="L93" s="42"/>
      <x:c r="M93" s="42"/>
      <x:c r="N93" s="42"/>
    </x:row>
    <x:row r="94" ht="23" customHeight="1">
      <x:c r="A94" s="42"/>
      <x:c r="B94" s="103"/>
      <x:c r="C94" s="104" t="str">
        <x:f t="shared" si="8"/>
      </x:c>
      <x:c r="D94" s="45"/>
      <x:c r="E94" s="45"/>
      <x:c r="F94" s="45"/>
      <x:c r="G94" s="46" t="str">
        <x:f t="shared" si="9"/>
      </x:c>
      <x:c r="H94" s="45"/>
      <x:c r="I94" s="46" t="str">
        <x:f t="shared" si="10"/>
      </x:c>
      <x:c r="J94" s="40" t="str">
        <x:f t="shared" si="11"/>
      </x:c>
      <x:c r="K94" s="103"/>
      <x:c r="L94" s="42"/>
      <x:c r="M94" s="42"/>
      <x:c r="N94" s="42"/>
    </x:row>
    <x:row r="95" ht="23" customHeight="1">
      <x:c r="A95" s="42"/>
      <x:c r="B95" s="103"/>
      <x:c r="C95" s="104" t="str">
        <x:f t="shared" si="8"/>
      </x:c>
      <x:c r="D95" s="45"/>
      <x:c r="E95" s="45"/>
      <x:c r="F95" s="45"/>
      <x:c r="G95" s="46" t="str">
        <x:f t="shared" si="9"/>
      </x:c>
      <x:c r="H95" s="45"/>
      <x:c r="I95" s="46" t="str">
        <x:f t="shared" si="10"/>
      </x:c>
      <x:c r="J95" s="40" t="str">
        <x:f t="shared" si="11"/>
      </x:c>
      <x:c r="K95" s="103"/>
      <x:c r="L95" s="42"/>
      <x:c r="M95" s="42"/>
      <x:c r="N95" s="42"/>
    </x:row>
    <x:row r="96" ht="23" customHeight="1">
      <x:c r="A96" s="42"/>
      <x:c r="B96" s="103"/>
      <x:c r="C96" s="104" t="str">
        <x:f t="shared" si="8"/>
      </x:c>
      <x:c r="D96" s="45"/>
      <x:c r="E96" s="45"/>
      <x:c r="F96" s="45"/>
      <x:c r="G96" s="46" t="str">
        <x:f t="shared" si="9"/>
      </x:c>
      <x:c r="H96" s="45"/>
      <x:c r="I96" s="46" t="str">
        <x:f t="shared" si="10"/>
      </x:c>
      <x:c r="J96" s="40" t="str">
        <x:f t="shared" si="11"/>
      </x:c>
      <x:c r="K96" s="103"/>
      <x:c r="L96" s="42"/>
      <x:c r="M96" s="42"/>
      <x:c r="N96" s="42"/>
    </x:row>
    <x:row r="97" ht="23" customHeight="1">
      <x:c r="A97" s="42"/>
      <x:c r="B97" s="103"/>
      <x:c r="C97" s="104" t="str">
        <x:f t="shared" si="8"/>
      </x:c>
      <x:c r="D97" s="45"/>
      <x:c r="E97" s="45"/>
      <x:c r="F97" s="45"/>
      <x:c r="G97" s="46" t="str">
        <x:f t="shared" si="9"/>
      </x:c>
      <x:c r="H97" s="45"/>
      <x:c r="I97" s="46" t="str">
        <x:f t="shared" si="10"/>
      </x:c>
      <x:c r="J97" s="40" t="str">
        <x:f t="shared" si="11"/>
      </x:c>
      <x:c r="K97" s="103"/>
      <x:c r="L97" s="42"/>
      <x:c r="M97" s="42"/>
      <x:c r="N97" s="42"/>
    </x:row>
    <x:row r="98" ht="23" customHeight="1">
      <x:c r="A98" s="42"/>
      <x:c r="B98" s="103"/>
      <x:c r="C98" s="104" t="str">
        <x:f t="shared" si="8"/>
      </x:c>
      <x:c r="D98" s="45"/>
      <x:c r="E98" s="45"/>
      <x:c r="F98" s="45"/>
      <x:c r="G98" s="46" t="str">
        <x:f t="shared" si="9"/>
      </x:c>
      <x:c r="H98" s="45"/>
      <x:c r="I98" s="46" t="str">
        <x:f t="shared" si="10"/>
      </x:c>
      <x:c r="J98" s="40" t="str">
        <x:f t="shared" si="11"/>
      </x:c>
      <x:c r="K98" s="103"/>
      <x:c r="L98" s="42"/>
      <x:c r="M98" s="42"/>
      <x:c r="N98" s="42"/>
    </x:row>
    <x:row r="99" ht="23" customHeight="1">
      <x:c r="A99" s="42"/>
      <x:c r="B99" s="103"/>
      <x:c r="C99" s="104" t="str">
        <x:f t="shared" si="8"/>
      </x:c>
      <x:c r="D99" s="45"/>
      <x:c r="E99" s="45"/>
      <x:c r="F99" s="45"/>
      <x:c r="G99" s="46" t="str">
        <x:f t="shared" si="9"/>
      </x:c>
      <x:c r="H99" s="45"/>
      <x:c r="I99" s="46" t="str">
        <x:f t="shared" si="10"/>
      </x:c>
      <x:c r="J99" s="40" t="str">
        <x:f t="shared" si="11"/>
      </x:c>
      <x:c r="K99" s="103"/>
      <x:c r="L99" s="42"/>
      <x:c r="M99" s="42"/>
      <x:c r="N99" s="42"/>
    </x:row>
    <x:row r="100" ht="23" customHeight="1">
      <x:c r="A100" s="42"/>
      <x:c r="B100" s="103"/>
      <x:c r="C100" s="104" t="str">
        <x:f t="shared" si="8"/>
      </x:c>
      <x:c r="D100" s="45"/>
      <x:c r="E100" s="45"/>
      <x:c r="F100" s="45"/>
      <x:c r="G100" s="46" t="str">
        <x:f t="shared" si="9"/>
      </x:c>
      <x:c r="H100" s="45"/>
      <x:c r="I100" s="46" t="str">
        <x:f t="shared" si="10"/>
      </x:c>
      <x:c r="J100" s="40" t="str">
        <x:f t="shared" si="11"/>
      </x:c>
      <x:c r="K100" s="103"/>
      <x:c r="L100" s="42"/>
      <x:c r="M100" s="42"/>
      <x:c r="N100" s="42"/>
    </x:row>
    <x:row r="101" ht="23" customHeight="1">
      <x:c r="A101" s="42"/>
      <x:c r="B101" s="103"/>
      <x:c r="C101" s="104" t="str">
        <x:f t="shared" si="8"/>
      </x:c>
      <x:c r="D101" s="45"/>
      <x:c r="E101" s="45"/>
      <x:c r="F101" s="45"/>
      <x:c r="G101" s="46" t="str">
        <x:f t="shared" si="9"/>
      </x:c>
      <x:c r="H101" s="45"/>
      <x:c r="I101" s="46" t="str">
        <x:f t="shared" si="10"/>
      </x:c>
      <x:c r="J101" s="40" t="str">
        <x:f t="shared" si="11"/>
      </x:c>
      <x:c r="K101" s="103"/>
      <x:c r="L101" s="42"/>
      <x:c r="M101" s="42"/>
      <x:c r="N101" s="42"/>
    </x:row>
    <x:row r="102" ht="23" customHeight="1">
      <x:c r="A102" s="42"/>
      <x:c r="B102" s="103"/>
      <x:c r="C102" s="104" t="str">
        <x:f t="shared" si="8"/>
      </x:c>
      <x:c r="D102" s="45"/>
      <x:c r="E102" s="45"/>
      <x:c r="F102" s="45"/>
      <x:c r="G102" s="46" t="str">
        <x:f t="shared" si="9"/>
      </x:c>
      <x:c r="H102" s="45"/>
      <x:c r="I102" s="46" t="str">
        <x:f t="shared" si="10"/>
      </x:c>
      <x:c r="J102" s="40" t="str">
        <x:f t="shared" si="11"/>
      </x:c>
      <x:c r="K102" s="103"/>
      <x:c r="L102" s="42"/>
      <x:c r="M102" s="42"/>
      <x:c r="N102" s="42"/>
    </x:row>
    <x:row r="103" ht="23" customHeight="1">
      <x:c r="A103" s="42"/>
      <x:c r="B103" s="103"/>
      <x:c r="C103" s="104" t="str">
        <x:f t="shared" si="8"/>
      </x:c>
      <x:c r="D103" s="45"/>
      <x:c r="E103" s="45"/>
      <x:c r="F103" s="45"/>
      <x:c r="G103" s="46" t="str">
        <x:f t="shared" si="9"/>
      </x:c>
      <x:c r="H103" s="45"/>
      <x:c r="I103" s="46" t="str">
        <x:f t="shared" si="10"/>
      </x:c>
      <x:c r="J103" s="40" t="str">
        <x:f t="shared" si="11"/>
      </x:c>
      <x:c r="K103" s="103"/>
      <x:c r="L103" s="42"/>
      <x:c r="M103" s="42"/>
      <x:c r="N103" s="42"/>
    </x:row>
    <x:row r="104" ht="23" customHeight="1">
      <x:c r="A104" s="42"/>
      <x:c r="B104" s="103"/>
      <x:c r="C104" s="104" t="str">
        <x:f t="shared" si="8"/>
      </x:c>
      <x:c r="D104" s="45"/>
      <x:c r="E104" s="45"/>
      <x:c r="F104" s="45"/>
      <x:c r="G104" s="46" t="str">
        <x:f t="shared" si="9"/>
      </x:c>
      <x:c r="H104" s="45"/>
      <x:c r="I104" s="46" t="str">
        <x:f t="shared" si="10"/>
      </x:c>
      <x:c r="J104" s="40" t="str">
        <x:f t="shared" si="11"/>
      </x:c>
      <x:c r="K104" s="103"/>
      <x:c r="L104" s="42"/>
      <x:c r="M104" s="42"/>
      <x:c r="N104" s="42"/>
    </x:row>
    <x:row r="105" ht="23" customHeight="1">
      <x:c r="A105" s="42"/>
      <x:c r="B105" s="103"/>
      <x:c r="C105" s="104" t="str">
        <x:f t="shared" si="8"/>
      </x:c>
      <x:c r="D105" s="45"/>
      <x:c r="E105" s="45"/>
      <x:c r="F105" s="45"/>
      <x:c r="G105" s="46" t="str">
        <x:f t="shared" si="9"/>
      </x:c>
      <x:c r="H105" s="45"/>
      <x:c r="I105" s="46" t="str">
        <x:f t="shared" si="10"/>
      </x:c>
      <x:c r="J105" s="40" t="str">
        <x:f t="shared" si="11"/>
      </x:c>
      <x:c r="K105" s="103"/>
      <x:c r="L105" s="42"/>
      <x:c r="M105" s="42"/>
      <x:c r="N105" s="42"/>
    </x:row>
    <x:row r="106" ht="23" customHeight="1">
      <x:c r="A106" s="42"/>
      <x:c r="B106" s="103"/>
      <x:c r="C106" s="104" t="str">
        <x:f t="shared" si="8"/>
      </x:c>
      <x:c r="D106" s="45"/>
      <x:c r="E106" s="45"/>
      <x:c r="F106" s="45"/>
      <x:c r="G106" s="46" t="str">
        <x:f t="shared" si="9"/>
      </x:c>
      <x:c r="H106" s="45"/>
      <x:c r="I106" s="46" t="str">
        <x:f t="shared" si="10"/>
      </x:c>
      <x:c r="J106" s="40" t="str">
        <x:f t="shared" si="11"/>
      </x:c>
      <x:c r="K106" s="103"/>
      <x:c r="L106" s="42"/>
      <x:c r="M106" s="42"/>
      <x:c r="N106" s="42"/>
    </x:row>
    <x:row r="107" ht="23" customHeight="1">
      <x:c r="A107" s="42"/>
      <x:c r="B107" s="103"/>
      <x:c r="C107" s="104" t="str">
        <x:f t="shared" si="8"/>
      </x:c>
      <x:c r="D107" s="45"/>
      <x:c r="E107" s="45"/>
      <x:c r="F107" s="45"/>
      <x:c r="G107" s="46" t="str">
        <x:f t="shared" si="9"/>
      </x:c>
      <x:c r="H107" s="45"/>
      <x:c r="I107" s="46" t="str">
        <x:f t="shared" si="10"/>
      </x:c>
      <x:c r="J107" s="40" t="str">
        <x:f t="shared" si="11"/>
      </x:c>
      <x:c r="K107" s="103"/>
      <x:c r="L107" s="42"/>
      <x:c r="M107" s="42"/>
      <x:c r="N107" s="42"/>
    </x:row>
    <x:row r="108" ht="23" customHeight="1">
      <x:c r="A108" s="42"/>
      <x:c r="B108" s="103"/>
      <x:c r="C108" s="104" t="str">
        <x:f t="shared" ref="C108:C111" si="12">IF(B108="","",B108+13)</x:f>
      </x:c>
      <x:c r="D108" s="45"/>
      <x:c r="E108" s="45"/>
      <x:c r="F108" s="45"/>
      <x:c r="G108" s="46" t="str">
        <x:f t="shared" ref="G108:G111" si="13">IF(OR(A108="",D108="",E108="",F108=""),"",ROUND(D108-E108+F108,2))</x:f>
      </x:c>
      <x:c r="H108" s="45"/>
      <x:c r="I108" s="46" t="str">
        <x:f t="shared" ref="I108:I111" si="14">IF(OR(G108="",H108=""),"",ROUND(G108-H108,2))</x:f>
      </x:c>
      <x:c r="J108" s="40" t="str">
        <x:f t="shared" ref="J108:J111" si="15">IF(A108="","",IF(OR(B108="",G108="",H108=""),"Thiếu thông tin",IF(I108&lt;0,"Trả thừa",IF(I108&gt;0,IF(H108=0,"Chưa trả","Trả một phần"),IF(OR(K108="",L108=""),"Bổ sung thông tin trả","Đã trả")))))</x:f>
      </x:c>
      <x:c r="K108" s="103"/>
      <x:c r="L108" s="42"/>
      <x:c r="M108" s="42"/>
      <x:c r="N108" s="42"/>
    </x:row>
    <x:row r="109" ht="23" customHeight="1">
      <x:c r="A109" s="42"/>
      <x:c r="B109" s="103"/>
      <x:c r="C109" s="104" t="str">
        <x:f t="shared" si="12"/>
      </x:c>
      <x:c r="D109" s="45"/>
      <x:c r="E109" s="45"/>
      <x:c r="F109" s="45"/>
      <x:c r="G109" s="46" t="str">
        <x:f t="shared" si="13"/>
      </x:c>
      <x:c r="H109" s="45"/>
      <x:c r="I109" s="46" t="str">
        <x:f t="shared" si="14"/>
      </x:c>
      <x:c r="J109" s="40" t="str">
        <x:f t="shared" si="15"/>
      </x:c>
      <x:c r="K109" s="103"/>
      <x:c r="L109" s="42"/>
      <x:c r="M109" s="42"/>
      <x:c r="N109" s="42"/>
    </x:row>
    <x:row r="110" ht="23" customHeight="1">
      <x:c r="A110" s="42"/>
      <x:c r="B110" s="103"/>
      <x:c r="C110" s="104" t="str">
        <x:f t="shared" si="12"/>
      </x:c>
      <x:c r="D110" s="45"/>
      <x:c r="E110" s="45"/>
      <x:c r="F110" s="45"/>
      <x:c r="G110" s="46" t="str">
        <x:f t="shared" si="13"/>
      </x:c>
      <x:c r="H110" s="45"/>
      <x:c r="I110" s="46" t="str">
        <x:f t="shared" si="14"/>
      </x:c>
      <x:c r="J110" s="40" t="str">
        <x:f t="shared" si="15"/>
      </x:c>
      <x:c r="K110" s="103"/>
      <x:c r="L110" s="42"/>
      <x:c r="M110" s="42"/>
      <x:c r="N110" s="42"/>
    </x:row>
    <x:row r="111">
      <x:c r="A111" s="64"/>
      <x:c r="B111" s="105"/>
      <x:c r="C111" s="106" t="str">
        <x:f t="shared" si="12"/>
      </x:c>
      <x:c r="D111" s="67"/>
      <x:c r="E111" s="67"/>
      <x:c r="F111" s="67"/>
      <x:c r="G111" s="68" t="str">
        <x:f t="shared" si="13"/>
      </x:c>
      <x:c r="H111" s="67"/>
      <x:c r="I111" s="68" t="str">
        <x:f t="shared" si="14"/>
      </x:c>
      <x:c r="J111" s="57" t="str">
        <x:f t="shared" si="15"/>
      </x:c>
      <x:c r="K111" s="105"/>
      <x:c r="L111" s="64"/>
      <x:c r="M111" s="64"/>
      <x:c r="N111" s="64"/>
    </x:row>
  </x:sheetData>
  <x:mergeCells>
    <x:mergeCell ref="C2:H2"/>
    <x:mergeCell ref="C3:H3"/>
    <x:mergeCell ref="A6:N6"/>
    <x:mergeCell ref="A9:N9"/>
  </x:mergeCells>
  <x:conditionalFormatting sqref="J12:J111">
    <x:cfRule type="containsText" dxfId="11" priority="1" operator="containsText" text="Chưa trả"/>
    <x:cfRule type="containsText" dxfId="12" priority="2" operator="containsText" text="Trả một phần"/>
  </x:conditionalFormatting>
  <x:dataValidations count="1">
    <x:dataValidation type="list" sqref="L12:L111">
      <x:formula1>"Chuyển khoản,Séc,Tiền mặt,Khác"</x:formula1>
    </x:dataValidation>
  </x:dataValidations>
  <x:pageMargins left="0.7" right="0.7" top="0.75" bottom="0.75" header="0.3" footer="0.3"/>
  <x:drawing xmlns:r="http://schemas.openxmlformats.org/officeDocument/2006/relationships" r:id="R205013fcadc94d2b"/>
  <x:tableParts count="1">
    <x:tablePart xmlns:r="http://schemas.openxmlformats.org/officeDocument/2006/relationships" r:id="R837c1a4a29384c75"/>
  </x:tableParts>
</x:worksheet>
</file>
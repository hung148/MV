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b9124a618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0531a65c4b2f4995"/>
    <x:sheet xmlns:r="http://schemas.openxmlformats.org/officeDocument/2006/relationships" name="Payment Register" sheetId="2" r:id="Rc77be236097147b8"/>
  </x:sheets>
</x:workbook>
</file>

<file path=xl/sharedStrings.xml><?xml version="1.0" encoding="utf-8"?>
<x:sst xmlns:x="http://schemas.openxmlformats.org/spreadsheetml/2006/main">
  <x:si>
    <x:t xml:space="preserve">MV MANUFACTURING LLC</x:t>
  </x:si>
  <x:si>
    <x:t xml:space="preserve">545 Aldo Ave, Ste 10 • Santa Clara, CA 95054</x:t>
  </x:si>
</x:sst>
</file>

<file path=xl/styles.xml><?xml version="1.0" encoding="utf-8"?>
<x:styleSheet xmlns:x="http://schemas.openxmlformats.org/spreadsheetml/2006/main">
  <x:numFmts count="3">
    <x:numFmt numFmtId="164" formatCode="mmm\ d\,\ yyyy"/>
    <x:numFmt numFmtId="165" formatCode="\$#,##0.00;[Red]\(\$#,##0.00\)"/>
    <x:numFmt numFmtId="200" formatCode="dd/mm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 patternType="solid">
          <x:bgColor rgb="FFFFDA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df52edfc541f1" /><Relationship Type="http://schemas.openxmlformats.org/officeDocument/2006/relationships/theme" Target="/xl/theme/theme1.xml" Id="R320f8e124e124a0c" /><Relationship Type="http://schemas.openxmlformats.org/officeDocument/2006/relationships/sharedStrings" Target="/xl/sharedStrings.xml" Id="R9dba8100d1c2455d" /><Relationship Type="http://schemas.openxmlformats.org/officeDocument/2006/relationships/worksheet" Target="/xl/worksheets/sheet1.xml" Id="R0531a65c4b2f4995" /><Relationship Type="http://schemas.openxmlformats.org/officeDocument/2006/relationships/worksheet" Target="/xl/worksheets/sheet2.xml" Id="Rc77be236097147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27ddbe7ac84bf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27defaaee63468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27ddbe7ac84b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7defaaee6346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2" name="Table2" displayName="Table2" ref="A11:G26" totalsRowShown="0">
  <x:autoFilter ref="A11:G26"/>
  <x:tableColumns count="7">
    <x:tableColumn id="1" name="Date" dataDxfId="10"/>
    <x:tableColumn id="2" name="Day" dataDxfId="9"/>
    <x:tableColumn id="3" name="Regular hrs" dataDxfId="8"/>
    <x:tableColumn id="4" name="OT hrs (1.5×)" dataDxfId="7"/>
    <x:tableColumn id="5" name="DT hrs (2×)" dataDxfId="6"/>
    <x:tableColumn id="6" name="Total hrs" dataDxfId="5"/>
    <x:tableColumn id="7" name="Work / job notes" dataDxfId="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eb02ebc85a45a1" /><Relationship Type="http://schemas.openxmlformats.org/officeDocument/2006/relationships/table" Target="/xl/tables/table1.xml" Id="Rc1afa5c8aaa544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1349e2a8875401c" /><Relationship Type="http://schemas.openxmlformats.org/officeDocument/2006/relationships/table" Target="/xl/tables/table2.xml" Id="Ra399dc7849114cbe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PHIẾU THANH TOÁN LƯƠNG NHÂN VIÊN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">
        <x:v>1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Họ tên nhân viên</x:v>
      </x:c>
      <x:c r="B6" s="70"/>
      <x:c r="C6" s="70"/>
      <x:c r="D6" s="70"/>
      <x:c r="E6" s="69" t="str">
        <x:v>Mã nhân viên</x:v>
      </x:c>
      <x:c r="F6" s="70"/>
      <x:c r="G6" s="70"/>
      <x:c r="H6" s="70"/>
    </x:row>
    <x:row r="7" ht="34" customHeight="1">
      <x:c r="A7" s="69" t="str">
        <x:v>Ngày bắt đầu</x:v>
      </x:c>
      <x:c r="B7" s="98"/>
      <x:c r="C7" s="69" t="str">
        <x:v>Ngày kết thúc</x:v>
      </x:c>
      <x:c r="D7" s="99" t="str">
        <x:f>IF(B7="","",B7+13)</x:f>
      </x:c>
      <x:c r="E7" s="69" t="str">
        <x:v>Ngày trả lương</x:v>
      </x:c>
      <x:c r="F7" s="98"/>
      <x:c r="G7" s="69" t="str">
        <x:v>Bộ phận / công việc</x:v>
      </x:c>
      <x:c r="H7" s="70"/>
    </x:row>
    <x:row r="8" ht="34" customHeight="1">
      <x:c r="A8" s="69" t="str">
        <x:v>Lương giờ (USD)</x:v>
      </x:c>
      <x:c r="B8" s="73"/>
      <x:c r="C8" s="69" t="str">
        <x:v>Đơn giá tăng ca 1,5×</x:v>
      </x:c>
      <x:c r="D8" s="74" t="str">
        <x:f>IF(B8="","",B8*1.5)</x:f>
      </x:c>
      <x:c r="E8" s="69" t="str">
        <x:v>Đơn giá tăng ca 2×</x:v>
      </x:c>
      <x:c r="F8" s="74" t="str">
        <x:f>IF(B8="","",B8*2)</x:f>
      </x:c>
      <x:c r="G8" s="69" t="str">
        <x:v>Ngày đầu tuần làm việc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Nhập giờ đã duyệt dạng thập phân (7,5 = 7 giờ 30 phút), không tính giờ nghỉ không lương.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Ngày</x:v>
      </x:c>
      <x:c r="B11" s="58" t="str">
        <x:v>Thứ</x:v>
      </x:c>
      <x:c r="C11" s="58" t="str">
        <x:v>Giờ thường</x:v>
      </x:c>
      <x:c r="D11" s="58" t="str">
        <x:v>Giờ tăng ca 1,5×</x:v>
      </x:c>
      <x:c r="E11" s="58" t="str">
        <x:v>Giờ tăng ca 2×</x:v>
      </x:c>
      <x:c r="F11" s="58" t="str">
        <x:v>Tổng giờ</x:v>
      </x:c>
      <x:c r="G11" s="58" t="str">
        <x:v>Ghi chú công việc</x:v>
      </x:c>
      <x:c r="H11" s="75"/>
    </x:row>
    <x:row r="12" ht="25" customHeight="1">
      <x:c r="A12" s="100" t="str">
        <x:f>IF($B$7="","",$B$7+0)</x:f>
      </x:c>
      <x:c r="B12" s="77" t="str">
        <x:f t="shared" ref="B12:B25" si="0">IF(A12="","",CHOOSE(WEEKDAY(A12),"Chủ nhật","Thứ hai","Thứ ba","Thứ tư","Thứ năm","Thứ sáu","Thứ bảy"))</x:f>
      </x:c>
      <x:c r="C12" s="78"/>
      <x:c r="D12" s="79"/>
      <x:c r="E12" s="79"/>
      <x:c r="F12" s="80" t="str">
        <x:f t="shared" ref="F12:F25" si="1">IF(COUNT(C12:E12)=0,"",SUM(C12:E12))</x:f>
      </x:c>
      <x:c r="G12" s="81"/>
      <x:c r="H12" s="82"/>
    </x:row>
    <x:row r="13" ht="25" customHeight="1">
      <x:c r="A13" s="101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88"/>
      <x:c r="H13" s="89"/>
    </x:row>
    <x:row r="14" ht="25" customHeight="1">
      <x:c r="A14" s="101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88"/>
      <x:c r="H14" s="89"/>
    </x:row>
    <x:row r="15" ht="25" customHeight="1">
      <x:c r="A15" s="101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88"/>
      <x:c r="H15" s="89"/>
    </x:row>
    <x:row r="16" ht="25" customHeight="1">
      <x:c r="A16" s="101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88"/>
      <x:c r="H16" s="89"/>
    </x:row>
    <x:row r="17" ht="25" customHeight="1">
      <x:c r="A17" s="101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88"/>
      <x:c r="H17" s="89"/>
    </x:row>
    <x:row r="18" ht="25" customHeight="1">
      <x:c r="A18" s="101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88"/>
      <x:c r="H18" s="89"/>
    </x:row>
    <x:row r="19" ht="25" customHeight="1">
      <x:c r="A19" s="101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88"/>
      <x:c r="H19" s="89"/>
    </x:row>
    <x:row r="20" ht="25" customHeight="1">
      <x:c r="A20" s="101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88"/>
      <x:c r="H20" s="89"/>
    </x:row>
    <x:row r="21" ht="25" customHeight="1">
      <x:c r="A21" s="101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88"/>
      <x:c r="H21" s="89"/>
    </x:row>
    <x:row r="22" ht="25" customHeight="1">
      <x:c r="A22" s="101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88"/>
      <x:c r="H22" s="89"/>
    </x:row>
    <x:row r="23" ht="25" customHeight="1">
      <x:c r="A23" s="101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88"/>
      <x:c r="H23" s="89"/>
    </x:row>
    <x:row r="24" ht="25" customHeight="1">
      <x:c r="A24" s="101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88"/>
      <x:c r="H24" s="89"/>
    </x:row>
    <x:row r="25" ht="25" customHeight="1">
      <x:c r="A25" s="102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95"/>
      <x:c r="H25" s="96"/>
    </x:row>
    <x:row r="26" ht="23" customHeight="1">
      <x:c r="A26" s="47" t="str">
        <x:v>TỔNG CỘNG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47"/>
      <x:c r="H26" s="57"/>
    </x:row>
    <x:row r="27" ht="23" customHeight="1">
      <x:c r="A27" s="40"/>
      <x:c r="B27" s="40"/>
      <x:c r="C27" s="40"/>
      <x:c r="D27" s="40"/>
      <x:c r="E27" s="40"/>
      <x:c r="F27" s="40"/>
      <x:c r="G27" s="40"/>
      <x:c r="H27" s="40"/>
    </x:row>
    <x:row r="28" ht="34" customHeight="1">
      <x:c r="A28" s="69" t="str">
        <x:v>Số ngày làm việc</x:v>
      </x:c>
      <x:c r="B28" s="69" t="str">
        <x:f>IF(COUNT(C12:E25)=0,"",COUNTIF(F12:F25,"&gt;0"))</x:f>
      </x:c>
      <x:c r="C28" s="69" t="str">
        <x:v>Lương giờ thường</x:v>
      </x:c>
      <x:c r="D28" s="74" t="str">
        <x:f>IF(OR(B8="",C26=""),"",ROUND(C26*B8,2))</x:f>
      </x:c>
      <x:c r="E28" s="69" t="str">
        <x:v>Lương tăng ca 1,5×</x:v>
      </x:c>
      <x:c r="F28" s="74" t="str">
        <x:f>IF(OR(B8="",D26=""),"",ROUND(D26*D8,2))</x:f>
      </x:c>
      <x:c r="G28" s="69" t="str">
        <x:v>Lương tăng ca 2×</x:v>
      </x:c>
      <x:c r="H28" s="74" t="str">
        <x:f>IF(OR(B8="",E26=""),"",ROUND(E26*F8,2))</x:f>
      </x:c>
    </x:row>
    <x:row r="29" ht="23" customHeight="1">
      <x:c r="A29" s="40"/>
      <x:c r="B29" s="40"/>
      <x:c r="C29" s="40"/>
      <x:c r="D29" s="40"/>
      <x:c r="E29" s="40"/>
      <x:c r="F29" s="40"/>
      <x:c r="G29" s="40"/>
      <x:c r="H29" s="40"/>
    </x:row>
    <x:row r="30" ht="30" customHeight="1">
      <x:c r="A30" s="40" t="str">
        <x:v>Thu nhập khác đã duyệt (USD)</x:v>
      </x:c>
      <x:c r="B30" s="40"/>
      <x:c r="C30" s="40"/>
      <x:c r="D30" s="45"/>
      <x:c r="E30" s="69" t="str">
        <x:v>Gồm phụ cấp / nghỉ hưởng lương đã được duyệt.</x:v>
      </x:c>
      <x:c r="F30" s="69"/>
      <x:c r="G30" s="69"/>
      <x:c r="H30" s="69"/>
    </x:row>
    <x:row r="31" ht="23" customHeight="1">
      <x:c r="A31" s="40" t="str">
        <x:v>TỔNG THU NHẬP</x:v>
      </x:c>
      <x:c r="B31" s="40"/>
      <x:c r="C31" s="40"/>
      <x:c r="D31" s="46" t="str">
        <x:f>IF(D28="","",SUM(D28,F28,H28,D30))</x:f>
      </x:c>
      <x:c r="E31" s="40"/>
      <x:c r="F31" s="40"/>
      <x:c r="G31" s="40"/>
      <x:c r="H31" s="40"/>
    </x:row>
    <x:row r="32" ht="30" customHeight="1">
      <x:c r="A32" s="40" t="str">
        <x:v>Thuế và khấu trừ (USD)</x:v>
      </x:c>
      <x:c r="B32" s="40"/>
      <x:c r="C32" s="40"/>
      <x:c r="D32" s="45"/>
      <x:c r="E32" s="69" t="str">
        <x:v>Nhập tổng từ bảng lương; nhập 0 nếu không có.</x:v>
      </x:c>
      <x:c r="F32" s="69"/>
      <x:c r="G32" s="69"/>
      <x:c r="H32" s="69"/>
    </x:row>
    <x:row r="33" ht="30" customHeight="1">
      <x:c r="A33" s="40" t="str">
        <x:v>Hoàn trả chi phí (USD)</x:v>
      </x:c>
      <x:c r="B33" s="40"/>
      <x:c r="C33" s="40"/>
      <x:c r="D33" s="45"/>
      <x:c r="E33" s="69" t="str">
        <x:v>Khoản hoàn trả chi phí tách riêng với thu nhập.</x:v>
      </x:c>
      <x:c r="F33" s="69"/>
      <x:c r="G33" s="69"/>
      <x:c r="H33" s="69"/>
    </x:row>
    <x:row r="34" ht="23" customHeight="1">
      <x:c r="A34" s="47" t="str">
        <x:v>THỰC LĨNH</x:v>
      </x:c>
      <x:c r="B34" s="47"/>
      <x:c r="C34" s="47"/>
      <x:c r="D34" s="56" t="str">
        <x:f>IF(OR(D31="",D32=""),"",ROUND(D31-D32+N(D33),2))</x:f>
      </x:c>
      <x:c r="E34" s="40"/>
      <x:c r="F34" s="40"/>
      <x:c r="G34" s="40"/>
      <x:c r="H34" s="40"/>
    </x:row>
    <x:row r="35" ht="34" customHeight="1">
      <x:c r="A35" s="69"/>
      <x:c r="B35" s="69"/>
      <x:c r="C35" s="69"/>
      <x:c r="D35" s="69"/>
      <x:c r="E35" s="69" t="str">
        <x:v>Số tiền đã trả</x:v>
      </x:c>
      <x:c r="F35" s="73"/>
      <x:c r="G35" s="69" t="str">
        <x:v>Số tiền còn phải trả</x:v>
      </x:c>
      <x:c r="H35" s="74" t="str">
        <x:f>IF(D34="","",ROUND(D34-N(F35),2))</x:f>
      </x:c>
    </x:row>
    <x:row r="36" ht="34" customHeight="1">
      <x:c r="A36" s="69" t="str">
        <x:v>Hình thức trả</x:v>
      </x:c>
      <x:c r="B36" s="70"/>
      <x:c r="C36" s="70"/>
      <x:c r="D36" s="70"/>
      <x:c r="E36" s="69" t="str">
        <x:v>Ngày đã trả</x:v>
      </x:c>
      <x:c r="F36" s="98"/>
      <x:c r="G36" s="69" t="str">
        <x:v>Mã giao dịch / số séc</x:v>
      </x:c>
      <x:c r="H36" s="70"/>
    </x:row>
    <x:row r="37" ht="23" customHeight="1">
      <x:c r="A37" s="40"/>
      <x:c r="B37" s="40"/>
      <x:c r="C37" s="40"/>
      <x:c r="D37" s="40"/>
      <x:c r="E37" s="40"/>
      <x:c r="F37" s="40"/>
      <x:c r="G37" s="40"/>
      <x:c r="H37" s="40"/>
    </x:row>
    <x:row r="38" ht="34" customHeight="1">
      <x:c r="A38" s="69" t="str">
        <x:v>Chữ ký nhân viên</x:v>
      </x:c>
      <x:c r="B38" s="69"/>
      <x:c r="C38" s="70"/>
      <x:c r="D38" s="70"/>
      <x:c r="E38" s="69" t="str">
        <x:v>Người duyệt / ngày duyệt</x:v>
      </x:c>
      <x:c r="F38" s="69"/>
      <x:c r="G38" s="70"/>
      <x:c r="H38" s="70"/>
    </x:row>
  </x:sheetData>
  <x:mergeCells>
    <x:mergeCell ref="B36:D36"/>
    <x:mergeCell ref="A38:B38"/>
    <x:mergeCell ref="C38:D38"/>
    <x:mergeCell ref="E38:F38"/>
    <x:mergeCell ref="G38:H38"/>
    <x:mergeCell ref="A32:C32"/>
    <x:mergeCell ref="E32:H32"/>
    <x:mergeCell ref="A33:C33"/>
    <x:mergeCell ref="E33:H33"/>
    <x:mergeCell ref="A34:C34"/>
    <x:mergeCell ref="A30:C30"/>
    <x:mergeCell ref="E30:H30"/>
    <x:mergeCell ref="A31:C31"/>
    <x:mergeCell ref="A10:H10"/>
    <x:mergeCell ref="C2:H2"/>
    <x:mergeCell ref="C3:H3"/>
    <x:mergeCell ref="C4:H4"/>
    <x:mergeCell ref="B6:D6"/>
    <x:mergeCell ref="F6:H6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"Chuyển khoản,Séc,Tiền mặt,Khác"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5eeb02ebc85a45a1"/>
  <x:tableParts count="1">
    <x:tablePart xmlns:r="http://schemas.openxmlformats.org/officeDocument/2006/relationships" r:id="Rc1afa5c8aaa544a6"/>
  </x:tableParts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SỔ THEO DÕI THANH TOÁN LƯƠNG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Mỗi dòng cho một nhân viên trong một kỳ lương. Nhập số liệu đã chốt từ phiếu lương hoặc hồ sơ bảng lương.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Tổng thực lĩnh</x:v>
      </x:c>
      <x:c r="B8" s="46" t="n">
        <x:f>SUM(G12:G111)</x:f>
        <x:v>0</x:v>
      </x:c>
      <x:c r="C8" s="40"/>
      <x:c r="D8" s="40" t="str">
        <x:v>Tổng đã trả</x:v>
      </x:c>
      <x:c r="E8" s="46" t="n">
        <x:f>SUM(H12:H111)</x:f>
        <x:v>0</x:v>
      </x:c>
      <x:c r="F8" s="40"/>
      <x:c r="G8" s="40" t="str">
        <x:v>Tổng còn phải trả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Nhập 0 nếu không có khấu trừ / hoàn trả / tiền đã trả. Trạng thái chỉ phản ánh thanh toán, không phải phê duyệt bảng lương.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Họ tên nhân viên</x:v>
      </x:c>
      <x:c r="B11" s="58" t="str">
        <x:v>Ngày bắt đầu</x:v>
      </x:c>
      <x:c r="C11" s="58" t="str">
        <x:v>Ngày kết thúc</x:v>
      </x:c>
      <x:c r="D11" s="58" t="str">
        <x:v>Tổng thu nhập</x:v>
      </x:c>
      <x:c r="E11" s="58" t="str">
        <x:v>Thuế / khấu trừ</x:v>
      </x:c>
      <x:c r="F11" s="58" t="str">
        <x:v>Hoàn trả chi phí</x:v>
      </x:c>
      <x:c r="G11" s="58" t="str">
        <x:v>Thực lĩnh</x:v>
      </x:c>
      <x:c r="H11" s="58" t="str">
        <x:v>Số tiền đã trả</x:v>
      </x:c>
      <x:c r="I11" s="58" t="str">
        <x:v>Còn phải trả</x:v>
      </x:c>
      <x:c r="J11" s="58" t="str">
        <x:v>Trạng thái</x:v>
      </x:c>
      <x:c r="K11" s="58" t="str">
        <x:v>Ngày đã trả</x:v>
      </x:c>
      <x:c r="L11" s="58" t="str">
        <x:v>Hình thức trả</x:v>
      </x:c>
      <x:c r="M11" s="58" t="str">
        <x:v>Mã giao dịch / số séc</x:v>
      </x:c>
      <x:c r="N11" s="58" t="str">
        <x:v>Ghi chú / mã nhân viên</x:v>
      </x:c>
    </x:row>
    <x:row r="12" ht="23" customHeight="1">
      <x:c r="A12" s="42"/>
      <x:c r="B12" s="103"/>
      <x:c r="C12" s="104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IF(A12="","",IF(OR(B12="",G12="",H12=""),"Thiếu thông tin",IF(I12&lt;0,"Trả thừa",IF(I12&gt;0,IF(H12=0,"Chưa trả","Trả một phần"),IF(OR(K12="",L12=""),"Bổ sung thông tin trả","Đã trả")))))</x:f>
      </x:c>
      <x:c r="K12" s="103"/>
      <x:c r="L12" s="42"/>
      <x:c r="M12" s="42"/>
      <x:c r="N12" s="42"/>
    </x:row>
    <x:row r="13" ht="23" customHeight="1">
      <x:c r="A13" s="42"/>
      <x:c r="B13" s="103"/>
      <x:c r="C13" s="104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03"/>
      <x:c r="L13" s="42"/>
      <x:c r="M13" s="42"/>
      <x:c r="N13" s="42"/>
    </x:row>
    <x:row r="14" ht="23" customHeight="1">
      <x:c r="A14" s="42"/>
      <x:c r="B14" s="103"/>
      <x:c r="C14" s="104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03"/>
      <x:c r="L14" s="42"/>
      <x:c r="M14" s="42"/>
      <x:c r="N14" s="42"/>
    </x:row>
    <x:row r="15" ht="23" customHeight="1">
      <x:c r="A15" s="42"/>
      <x:c r="B15" s="103"/>
      <x:c r="C15" s="104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03"/>
      <x:c r="L15" s="42"/>
      <x:c r="M15" s="42"/>
      <x:c r="N15" s="42"/>
    </x:row>
    <x:row r="16" ht="23" customHeight="1">
      <x:c r="A16" s="42"/>
      <x:c r="B16" s="103"/>
      <x:c r="C16" s="104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03"/>
      <x:c r="L16" s="42"/>
      <x:c r="M16" s="42"/>
      <x:c r="N16" s="42"/>
    </x:row>
    <x:row r="17" ht="23" customHeight="1">
      <x:c r="A17" s="42"/>
      <x:c r="B17" s="103"/>
      <x:c r="C17" s="104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03"/>
      <x:c r="L17" s="42"/>
      <x:c r="M17" s="42"/>
      <x:c r="N17" s="42"/>
    </x:row>
    <x:row r="18" ht="23" customHeight="1">
      <x:c r="A18" s="42"/>
      <x:c r="B18" s="103"/>
      <x:c r="C18" s="104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03"/>
      <x:c r="L18" s="42"/>
      <x:c r="M18" s="42"/>
      <x:c r="N18" s="42"/>
    </x:row>
    <x:row r="19" ht="23" customHeight="1">
      <x:c r="A19" s="42"/>
      <x:c r="B19" s="103"/>
      <x:c r="C19" s="104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03"/>
      <x:c r="L19" s="42"/>
      <x:c r="M19" s="42"/>
      <x:c r="N19" s="42"/>
    </x:row>
    <x:row r="20" ht="23" customHeight="1">
      <x:c r="A20" s="42"/>
      <x:c r="B20" s="103"/>
      <x:c r="C20" s="104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03"/>
      <x:c r="L20" s="42"/>
      <x:c r="M20" s="42"/>
      <x:c r="N20" s="42"/>
    </x:row>
    <x:row r="21" ht="23" customHeight="1">
      <x:c r="A21" s="42"/>
      <x:c r="B21" s="103"/>
      <x:c r="C21" s="104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03"/>
      <x:c r="L21" s="42"/>
      <x:c r="M21" s="42"/>
      <x:c r="N21" s="42"/>
    </x:row>
    <x:row r="22" ht="23" customHeight="1">
      <x:c r="A22" s="42"/>
      <x:c r="B22" s="103"/>
      <x:c r="C22" s="104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03"/>
      <x:c r="L22" s="42"/>
      <x:c r="M22" s="42"/>
      <x:c r="N22" s="42"/>
    </x:row>
    <x:row r="23" ht="23" customHeight="1">
      <x:c r="A23" s="42"/>
      <x:c r="B23" s="103"/>
      <x:c r="C23" s="104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03"/>
      <x:c r="L23" s="42"/>
      <x:c r="M23" s="42"/>
      <x:c r="N23" s="42"/>
    </x:row>
    <x:row r="24" ht="23" customHeight="1">
      <x:c r="A24" s="42"/>
      <x:c r="B24" s="103"/>
      <x:c r="C24" s="104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03"/>
      <x:c r="L24" s="42"/>
      <x:c r="M24" s="42"/>
      <x:c r="N24" s="42"/>
    </x:row>
    <x:row r="25" ht="23" customHeight="1">
      <x:c r="A25" s="42"/>
      <x:c r="B25" s="103"/>
      <x:c r="C25" s="104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03"/>
      <x:c r="L25" s="42"/>
      <x:c r="M25" s="42"/>
      <x:c r="N25" s="42"/>
    </x:row>
    <x:row r="26" ht="23" customHeight="1">
      <x:c r="A26" s="42"/>
      <x:c r="B26" s="103"/>
      <x:c r="C26" s="104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03"/>
      <x:c r="L26" s="42"/>
      <x:c r="M26" s="42"/>
      <x:c r="N26" s="42"/>
    </x:row>
    <x:row r="27" ht="23" customHeight="1">
      <x:c r="A27" s="42"/>
      <x:c r="B27" s="103"/>
      <x:c r="C27" s="104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03"/>
      <x:c r="L27" s="42"/>
      <x:c r="M27" s="42"/>
      <x:c r="N27" s="42"/>
    </x:row>
    <x:row r="28" ht="23" customHeight="1">
      <x:c r="A28" s="42"/>
      <x:c r="B28" s="103"/>
      <x:c r="C28" s="104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03"/>
      <x:c r="L28" s="42"/>
      <x:c r="M28" s="42"/>
      <x:c r="N28" s="42"/>
    </x:row>
    <x:row r="29" ht="23" customHeight="1">
      <x:c r="A29" s="42"/>
      <x:c r="B29" s="103"/>
      <x:c r="C29" s="104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03"/>
      <x:c r="L29" s="42"/>
      <x:c r="M29" s="42"/>
      <x:c r="N29" s="42"/>
    </x:row>
    <x:row r="30" ht="23" customHeight="1">
      <x:c r="A30" s="42"/>
      <x:c r="B30" s="103"/>
      <x:c r="C30" s="104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03"/>
      <x:c r="L30" s="42"/>
      <x:c r="M30" s="42"/>
      <x:c r="N30" s="42"/>
    </x:row>
    <x:row r="31" ht="23" customHeight="1">
      <x:c r="A31" s="42"/>
      <x:c r="B31" s="103"/>
      <x:c r="C31" s="104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03"/>
      <x:c r="L31" s="42"/>
      <x:c r="M31" s="42"/>
      <x:c r="N31" s="42"/>
    </x:row>
    <x:row r="32" ht="23" customHeight="1">
      <x:c r="A32" s="42"/>
      <x:c r="B32" s="103"/>
      <x:c r="C32" s="104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03"/>
      <x:c r="L32" s="42"/>
      <x:c r="M32" s="42"/>
      <x:c r="N32" s="42"/>
    </x:row>
    <x:row r="33" ht="23" customHeight="1">
      <x:c r="A33" s="42"/>
      <x:c r="B33" s="103"/>
      <x:c r="C33" s="104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03"/>
      <x:c r="L33" s="42"/>
      <x:c r="M33" s="42"/>
      <x:c r="N33" s="42"/>
    </x:row>
    <x:row r="34" ht="23" customHeight="1">
      <x:c r="A34" s="42"/>
      <x:c r="B34" s="103"/>
      <x:c r="C34" s="104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03"/>
      <x:c r="L34" s="42"/>
      <x:c r="M34" s="42"/>
      <x:c r="N34" s="42"/>
    </x:row>
    <x:row r="35" ht="23" customHeight="1">
      <x:c r="A35" s="42"/>
      <x:c r="B35" s="103"/>
      <x:c r="C35" s="104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03"/>
      <x:c r="L35" s="42"/>
      <x:c r="M35" s="42"/>
      <x:c r="N35" s="42"/>
    </x:row>
    <x:row r="36" ht="23" customHeight="1">
      <x:c r="A36" s="42"/>
      <x:c r="B36" s="103"/>
      <x:c r="C36" s="104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03"/>
      <x:c r="L36" s="42"/>
      <x:c r="M36" s="42"/>
      <x:c r="N36" s="42"/>
    </x:row>
    <x:row r="37" ht="23" customHeight="1">
      <x:c r="A37" s="42"/>
      <x:c r="B37" s="103"/>
      <x:c r="C37" s="104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03"/>
      <x:c r="L37" s="42"/>
      <x:c r="M37" s="42"/>
      <x:c r="N37" s="42"/>
    </x:row>
    <x:row r="38" ht="23" customHeight="1">
      <x:c r="A38" s="42"/>
      <x:c r="B38" s="103"/>
      <x:c r="C38" s="104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03"/>
      <x:c r="L38" s="42"/>
      <x:c r="M38" s="42"/>
      <x:c r="N38" s="42"/>
    </x:row>
    <x:row r="39" ht="23" customHeight="1">
      <x:c r="A39" s="42"/>
      <x:c r="B39" s="103"/>
      <x:c r="C39" s="104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03"/>
      <x:c r="L39" s="42"/>
      <x:c r="M39" s="42"/>
      <x:c r="N39" s="42"/>
    </x:row>
    <x:row r="40" ht="23" customHeight="1">
      <x:c r="A40" s="42"/>
      <x:c r="B40" s="103"/>
      <x:c r="C40" s="104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03"/>
      <x:c r="L40" s="42"/>
      <x:c r="M40" s="42"/>
      <x:c r="N40" s="42"/>
    </x:row>
    <x:row r="41" ht="23" customHeight="1">
      <x:c r="A41" s="42"/>
      <x:c r="B41" s="103"/>
      <x:c r="C41" s="104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03"/>
      <x:c r="L41" s="42"/>
      <x:c r="M41" s="42"/>
      <x:c r="N41" s="42"/>
    </x:row>
    <x:row r="42" ht="23" customHeight="1">
      <x:c r="A42" s="42"/>
      <x:c r="B42" s="103"/>
      <x:c r="C42" s="104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03"/>
      <x:c r="L42" s="42"/>
      <x:c r="M42" s="42"/>
      <x:c r="N42" s="42"/>
    </x:row>
    <x:row r="43" ht="23" customHeight="1">
      <x:c r="A43" s="42"/>
      <x:c r="B43" s="103"/>
      <x:c r="C43" s="104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03"/>
      <x:c r="L43" s="42"/>
      <x:c r="M43" s="42"/>
      <x:c r="N43" s="42"/>
    </x:row>
    <x:row r="44" ht="23" customHeight="1">
      <x:c r="A44" s="42"/>
      <x:c r="B44" s="103"/>
      <x:c r="C44" s="104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IF(A44="","",IF(OR(B44="",G44="",H44=""),"Thiếu thông tin",IF(I44&lt;0,"Trả thừa",IF(I44&gt;0,IF(H44=0,"Chưa trả","Trả một phần"),IF(OR(K44="",L44=""),"Bổ sung thông tin trả","Đã trả")))))</x:f>
      </x:c>
      <x:c r="K44" s="103"/>
      <x:c r="L44" s="42"/>
      <x:c r="M44" s="42"/>
      <x:c r="N44" s="42"/>
    </x:row>
    <x:row r="45" ht="23" customHeight="1">
      <x:c r="A45" s="42"/>
      <x:c r="B45" s="103"/>
      <x:c r="C45" s="104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03"/>
      <x:c r="L45" s="42"/>
      <x:c r="M45" s="42"/>
      <x:c r="N45" s="42"/>
    </x:row>
    <x:row r="46" ht="23" customHeight="1">
      <x:c r="A46" s="42"/>
      <x:c r="B46" s="103"/>
      <x:c r="C46" s="104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03"/>
      <x:c r="L46" s="42"/>
      <x:c r="M46" s="42"/>
      <x:c r="N46" s="42"/>
    </x:row>
    <x:row r="47" ht="23" customHeight="1">
      <x:c r="A47" s="42"/>
      <x:c r="B47" s="103"/>
      <x:c r="C47" s="104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03"/>
      <x:c r="L47" s="42"/>
      <x:c r="M47" s="42"/>
      <x:c r="N47" s="42"/>
    </x:row>
    <x:row r="48" ht="23" customHeight="1">
      <x:c r="A48" s="42"/>
      <x:c r="B48" s="103"/>
      <x:c r="C48" s="104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03"/>
      <x:c r="L48" s="42"/>
      <x:c r="M48" s="42"/>
      <x:c r="N48" s="42"/>
    </x:row>
    <x:row r="49" ht="23" customHeight="1">
      <x:c r="A49" s="42"/>
      <x:c r="B49" s="103"/>
      <x:c r="C49" s="104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03"/>
      <x:c r="L49" s="42"/>
      <x:c r="M49" s="42"/>
      <x:c r="N49" s="42"/>
    </x:row>
    <x:row r="50" ht="23" customHeight="1">
      <x:c r="A50" s="42"/>
      <x:c r="B50" s="103"/>
      <x:c r="C50" s="104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03"/>
      <x:c r="L50" s="42"/>
      <x:c r="M50" s="42"/>
      <x:c r="N50" s="42"/>
    </x:row>
    <x:row r="51" ht="23" customHeight="1">
      <x:c r="A51" s="42"/>
      <x:c r="B51" s="103"/>
      <x:c r="C51" s="104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03"/>
      <x:c r="L51" s="42"/>
      <x:c r="M51" s="42"/>
      <x:c r="N51" s="42"/>
    </x:row>
    <x:row r="52" ht="23" customHeight="1">
      <x:c r="A52" s="42"/>
      <x:c r="B52" s="103"/>
      <x:c r="C52" s="104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03"/>
      <x:c r="L52" s="42"/>
      <x:c r="M52" s="42"/>
      <x:c r="N52" s="42"/>
    </x:row>
    <x:row r="53" ht="23" customHeight="1">
      <x:c r="A53" s="42"/>
      <x:c r="B53" s="103"/>
      <x:c r="C53" s="104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03"/>
      <x:c r="L53" s="42"/>
      <x:c r="M53" s="42"/>
      <x:c r="N53" s="42"/>
    </x:row>
    <x:row r="54" ht="23" customHeight="1">
      <x:c r="A54" s="42"/>
      <x:c r="B54" s="103"/>
      <x:c r="C54" s="104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03"/>
      <x:c r="L54" s="42"/>
      <x:c r="M54" s="42"/>
      <x:c r="N54" s="42"/>
    </x:row>
    <x:row r="55" ht="23" customHeight="1">
      <x:c r="A55" s="42"/>
      <x:c r="B55" s="103"/>
      <x:c r="C55" s="104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03"/>
      <x:c r="L55" s="42"/>
      <x:c r="M55" s="42"/>
      <x:c r="N55" s="42"/>
    </x:row>
    <x:row r="56" ht="23" customHeight="1">
      <x:c r="A56" s="42"/>
      <x:c r="B56" s="103"/>
      <x:c r="C56" s="104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03"/>
      <x:c r="L56" s="42"/>
      <x:c r="M56" s="42"/>
      <x:c r="N56" s="42"/>
    </x:row>
    <x:row r="57" ht="23" customHeight="1">
      <x:c r="A57" s="42"/>
      <x:c r="B57" s="103"/>
      <x:c r="C57" s="104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03"/>
      <x:c r="L57" s="42"/>
      <x:c r="M57" s="42"/>
      <x:c r="N57" s="42"/>
    </x:row>
    <x:row r="58" ht="23" customHeight="1">
      <x:c r="A58" s="42"/>
      <x:c r="B58" s="103"/>
      <x:c r="C58" s="104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03"/>
      <x:c r="L58" s="42"/>
      <x:c r="M58" s="42"/>
      <x:c r="N58" s="42"/>
    </x:row>
    <x:row r="59" ht="23" customHeight="1">
      <x:c r="A59" s="42"/>
      <x:c r="B59" s="103"/>
      <x:c r="C59" s="104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03"/>
      <x:c r="L59" s="42"/>
      <x:c r="M59" s="42"/>
      <x:c r="N59" s="42"/>
    </x:row>
    <x:row r="60" ht="23" customHeight="1">
      <x:c r="A60" s="42"/>
      <x:c r="B60" s="103"/>
      <x:c r="C60" s="104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03"/>
      <x:c r="L60" s="42"/>
      <x:c r="M60" s="42"/>
      <x:c r="N60" s="42"/>
    </x:row>
    <x:row r="61" ht="23" customHeight="1">
      <x:c r="A61" s="42"/>
      <x:c r="B61" s="103"/>
      <x:c r="C61" s="104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03"/>
      <x:c r="L61" s="42"/>
      <x:c r="M61" s="42"/>
      <x:c r="N61" s="42"/>
    </x:row>
    <x:row r="62" ht="23" customHeight="1">
      <x:c r="A62" s="42"/>
      <x:c r="B62" s="103"/>
      <x:c r="C62" s="104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03"/>
      <x:c r="L62" s="42"/>
      <x:c r="M62" s="42"/>
      <x:c r="N62" s="42"/>
    </x:row>
    <x:row r="63" ht="23" customHeight="1">
      <x:c r="A63" s="42"/>
      <x:c r="B63" s="103"/>
      <x:c r="C63" s="104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03"/>
      <x:c r="L63" s="42"/>
      <x:c r="M63" s="42"/>
      <x:c r="N63" s="42"/>
    </x:row>
    <x:row r="64" ht="23" customHeight="1">
      <x:c r="A64" s="42"/>
      <x:c r="B64" s="103"/>
      <x:c r="C64" s="104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03"/>
      <x:c r="L64" s="42"/>
      <x:c r="M64" s="42"/>
      <x:c r="N64" s="42"/>
    </x:row>
    <x:row r="65" ht="23" customHeight="1">
      <x:c r="A65" s="42"/>
      <x:c r="B65" s="103"/>
      <x:c r="C65" s="104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03"/>
      <x:c r="L65" s="42"/>
      <x:c r="M65" s="42"/>
      <x:c r="N65" s="42"/>
    </x:row>
    <x:row r="66" ht="23" customHeight="1">
      <x:c r="A66" s="42"/>
      <x:c r="B66" s="103"/>
      <x:c r="C66" s="104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03"/>
      <x:c r="L66" s="42"/>
      <x:c r="M66" s="42"/>
      <x:c r="N66" s="42"/>
    </x:row>
    <x:row r="67" ht="23" customHeight="1">
      <x:c r="A67" s="42"/>
      <x:c r="B67" s="103"/>
      <x:c r="C67" s="104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03"/>
      <x:c r="L67" s="42"/>
      <x:c r="M67" s="42"/>
      <x:c r="N67" s="42"/>
    </x:row>
    <x:row r="68" ht="23" customHeight="1">
      <x:c r="A68" s="42"/>
      <x:c r="B68" s="103"/>
      <x:c r="C68" s="104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03"/>
      <x:c r="L68" s="42"/>
      <x:c r="M68" s="42"/>
      <x:c r="N68" s="42"/>
    </x:row>
    <x:row r="69" ht="23" customHeight="1">
      <x:c r="A69" s="42"/>
      <x:c r="B69" s="103"/>
      <x:c r="C69" s="104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03"/>
      <x:c r="L69" s="42"/>
      <x:c r="M69" s="42"/>
      <x:c r="N69" s="42"/>
    </x:row>
    <x:row r="70" ht="23" customHeight="1">
      <x:c r="A70" s="42"/>
      <x:c r="B70" s="103"/>
      <x:c r="C70" s="104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03"/>
      <x:c r="L70" s="42"/>
      <x:c r="M70" s="42"/>
      <x:c r="N70" s="42"/>
    </x:row>
    <x:row r="71" ht="23" customHeight="1">
      <x:c r="A71" s="42"/>
      <x:c r="B71" s="103"/>
      <x:c r="C71" s="104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03"/>
      <x:c r="L71" s="42"/>
      <x:c r="M71" s="42"/>
      <x:c r="N71" s="42"/>
    </x:row>
    <x:row r="72" ht="23" customHeight="1">
      <x:c r="A72" s="42"/>
      <x:c r="B72" s="103"/>
      <x:c r="C72" s="104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03"/>
      <x:c r="L72" s="42"/>
      <x:c r="M72" s="42"/>
      <x:c r="N72" s="42"/>
    </x:row>
    <x:row r="73" ht="23" customHeight="1">
      <x:c r="A73" s="42"/>
      <x:c r="B73" s="103"/>
      <x:c r="C73" s="104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03"/>
      <x:c r="L73" s="42"/>
      <x:c r="M73" s="42"/>
      <x:c r="N73" s="42"/>
    </x:row>
    <x:row r="74" ht="23" customHeight="1">
      <x:c r="A74" s="42"/>
      <x:c r="B74" s="103"/>
      <x:c r="C74" s="104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03"/>
      <x:c r="L74" s="42"/>
      <x:c r="M74" s="42"/>
      <x:c r="N74" s="42"/>
    </x:row>
    <x:row r="75" ht="23" customHeight="1">
      <x:c r="A75" s="42"/>
      <x:c r="B75" s="103"/>
      <x:c r="C75" s="104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03"/>
      <x:c r="L75" s="42"/>
      <x:c r="M75" s="42"/>
      <x:c r="N75" s="42"/>
    </x:row>
    <x:row r="76" ht="23" customHeight="1">
      <x:c r="A76" s="42"/>
      <x:c r="B76" s="103"/>
      <x:c r="C76" s="104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IF(A76="","",IF(OR(B76="",G76="",H76=""),"Thiếu thông tin",IF(I76&lt;0,"Trả thừa",IF(I76&gt;0,IF(H76=0,"Chưa trả","Trả một phần"),IF(OR(K76="",L76=""),"Bổ sung thông tin trả","Đã trả")))))</x:f>
      </x:c>
      <x:c r="K76" s="103"/>
      <x:c r="L76" s="42"/>
      <x:c r="M76" s="42"/>
      <x:c r="N76" s="42"/>
    </x:row>
    <x:row r="77" ht="23" customHeight="1">
      <x:c r="A77" s="42"/>
      <x:c r="B77" s="103"/>
      <x:c r="C77" s="104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03"/>
      <x:c r="L77" s="42"/>
      <x:c r="M77" s="42"/>
      <x:c r="N77" s="42"/>
    </x:row>
    <x:row r="78" ht="23" customHeight="1">
      <x:c r="A78" s="42"/>
      <x:c r="B78" s="103"/>
      <x:c r="C78" s="104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03"/>
      <x:c r="L78" s="42"/>
      <x:c r="M78" s="42"/>
      <x:c r="N78" s="42"/>
    </x:row>
    <x:row r="79" ht="23" customHeight="1">
      <x:c r="A79" s="42"/>
      <x:c r="B79" s="103"/>
      <x:c r="C79" s="104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03"/>
      <x:c r="L79" s="42"/>
      <x:c r="M79" s="42"/>
      <x:c r="N79" s="42"/>
    </x:row>
    <x:row r="80" ht="23" customHeight="1">
      <x:c r="A80" s="42"/>
      <x:c r="B80" s="103"/>
      <x:c r="C80" s="104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03"/>
      <x:c r="L80" s="42"/>
      <x:c r="M80" s="42"/>
      <x:c r="N80" s="42"/>
    </x:row>
    <x:row r="81" ht="23" customHeight="1">
      <x:c r="A81" s="42"/>
      <x:c r="B81" s="103"/>
      <x:c r="C81" s="104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03"/>
      <x:c r="L81" s="42"/>
      <x:c r="M81" s="42"/>
      <x:c r="N81" s="42"/>
    </x:row>
    <x:row r="82" ht="23" customHeight="1">
      <x:c r="A82" s="42"/>
      <x:c r="B82" s="103"/>
      <x:c r="C82" s="104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03"/>
      <x:c r="L82" s="42"/>
      <x:c r="M82" s="42"/>
      <x:c r="N82" s="42"/>
    </x:row>
    <x:row r="83" ht="23" customHeight="1">
      <x:c r="A83" s="42"/>
      <x:c r="B83" s="103"/>
      <x:c r="C83" s="104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03"/>
      <x:c r="L83" s="42"/>
      <x:c r="M83" s="42"/>
      <x:c r="N83" s="42"/>
    </x:row>
    <x:row r="84" ht="23" customHeight="1">
      <x:c r="A84" s="42"/>
      <x:c r="B84" s="103"/>
      <x:c r="C84" s="104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03"/>
      <x:c r="L84" s="42"/>
      <x:c r="M84" s="42"/>
      <x:c r="N84" s="42"/>
    </x:row>
    <x:row r="85" ht="23" customHeight="1">
      <x:c r="A85" s="42"/>
      <x:c r="B85" s="103"/>
      <x:c r="C85" s="104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03"/>
      <x:c r="L85" s="42"/>
      <x:c r="M85" s="42"/>
      <x:c r="N85" s="42"/>
    </x:row>
    <x:row r="86" ht="23" customHeight="1">
      <x:c r="A86" s="42"/>
      <x:c r="B86" s="103"/>
      <x:c r="C86" s="104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03"/>
      <x:c r="L86" s="42"/>
      <x:c r="M86" s="42"/>
      <x:c r="N86" s="42"/>
    </x:row>
    <x:row r="87" ht="23" customHeight="1">
      <x:c r="A87" s="42"/>
      <x:c r="B87" s="103"/>
      <x:c r="C87" s="104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03"/>
      <x:c r="L87" s="42"/>
      <x:c r="M87" s="42"/>
      <x:c r="N87" s="42"/>
    </x:row>
    <x:row r="88" ht="23" customHeight="1">
      <x:c r="A88" s="42"/>
      <x:c r="B88" s="103"/>
      <x:c r="C88" s="104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03"/>
      <x:c r="L88" s="42"/>
      <x:c r="M88" s="42"/>
      <x:c r="N88" s="42"/>
    </x:row>
    <x:row r="89" ht="23" customHeight="1">
      <x:c r="A89" s="42"/>
      <x:c r="B89" s="103"/>
      <x:c r="C89" s="104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03"/>
      <x:c r="L89" s="42"/>
      <x:c r="M89" s="42"/>
      <x:c r="N89" s="42"/>
    </x:row>
    <x:row r="90" ht="23" customHeight="1">
      <x:c r="A90" s="42"/>
      <x:c r="B90" s="103"/>
      <x:c r="C90" s="104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03"/>
      <x:c r="L90" s="42"/>
      <x:c r="M90" s="42"/>
      <x:c r="N90" s="42"/>
    </x:row>
    <x:row r="91" ht="23" customHeight="1">
      <x:c r="A91" s="42"/>
      <x:c r="B91" s="103"/>
      <x:c r="C91" s="104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03"/>
      <x:c r="L91" s="42"/>
      <x:c r="M91" s="42"/>
      <x:c r="N91" s="42"/>
    </x:row>
    <x:row r="92" ht="23" customHeight="1">
      <x:c r="A92" s="42"/>
      <x:c r="B92" s="103"/>
      <x:c r="C92" s="104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03"/>
      <x:c r="L92" s="42"/>
      <x:c r="M92" s="42"/>
      <x:c r="N92" s="42"/>
    </x:row>
    <x:row r="93" ht="23" customHeight="1">
      <x:c r="A93" s="42"/>
      <x:c r="B93" s="103"/>
      <x:c r="C93" s="104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03"/>
      <x:c r="L93" s="42"/>
      <x:c r="M93" s="42"/>
      <x:c r="N93" s="42"/>
    </x:row>
    <x:row r="94" ht="23" customHeight="1">
      <x:c r="A94" s="42"/>
      <x:c r="B94" s="103"/>
      <x:c r="C94" s="104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03"/>
      <x:c r="L94" s="42"/>
      <x:c r="M94" s="42"/>
      <x:c r="N94" s="42"/>
    </x:row>
    <x:row r="95" ht="23" customHeight="1">
      <x:c r="A95" s="42"/>
      <x:c r="B95" s="103"/>
      <x:c r="C95" s="104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03"/>
      <x:c r="L95" s="42"/>
      <x:c r="M95" s="42"/>
      <x:c r="N95" s="42"/>
    </x:row>
    <x:row r="96" ht="23" customHeight="1">
      <x:c r="A96" s="42"/>
      <x:c r="B96" s="103"/>
      <x:c r="C96" s="104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03"/>
      <x:c r="L96" s="42"/>
      <x:c r="M96" s="42"/>
      <x:c r="N96" s="42"/>
    </x:row>
    <x:row r="97" ht="23" customHeight="1">
      <x:c r="A97" s="42"/>
      <x:c r="B97" s="103"/>
      <x:c r="C97" s="104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03"/>
      <x:c r="L97" s="42"/>
      <x:c r="M97" s="42"/>
      <x:c r="N97" s="42"/>
    </x:row>
    <x:row r="98" ht="23" customHeight="1">
      <x:c r="A98" s="42"/>
      <x:c r="B98" s="103"/>
      <x:c r="C98" s="104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03"/>
      <x:c r="L98" s="42"/>
      <x:c r="M98" s="42"/>
      <x:c r="N98" s="42"/>
    </x:row>
    <x:row r="99" ht="23" customHeight="1">
      <x:c r="A99" s="42"/>
      <x:c r="B99" s="103"/>
      <x:c r="C99" s="104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03"/>
      <x:c r="L99" s="42"/>
      <x:c r="M99" s="42"/>
      <x:c r="N99" s="42"/>
    </x:row>
    <x:row r="100" ht="23" customHeight="1">
      <x:c r="A100" s="42"/>
      <x:c r="B100" s="103"/>
      <x:c r="C100" s="104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03"/>
      <x:c r="L100" s="42"/>
      <x:c r="M100" s="42"/>
      <x:c r="N100" s="42"/>
    </x:row>
    <x:row r="101" ht="23" customHeight="1">
      <x:c r="A101" s="42"/>
      <x:c r="B101" s="103"/>
      <x:c r="C101" s="104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03"/>
      <x:c r="L101" s="42"/>
      <x:c r="M101" s="42"/>
      <x:c r="N101" s="42"/>
    </x:row>
    <x:row r="102" ht="23" customHeight="1">
      <x:c r="A102" s="42"/>
      <x:c r="B102" s="103"/>
      <x:c r="C102" s="104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03"/>
      <x:c r="L102" s="42"/>
      <x:c r="M102" s="42"/>
      <x:c r="N102" s="42"/>
    </x:row>
    <x:row r="103" ht="23" customHeight="1">
      <x:c r="A103" s="42"/>
      <x:c r="B103" s="103"/>
      <x:c r="C103" s="104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03"/>
      <x:c r="L103" s="42"/>
      <x:c r="M103" s="42"/>
      <x:c r="N103" s="42"/>
    </x:row>
    <x:row r="104" ht="23" customHeight="1">
      <x:c r="A104" s="42"/>
      <x:c r="B104" s="103"/>
      <x:c r="C104" s="104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03"/>
      <x:c r="L104" s="42"/>
      <x:c r="M104" s="42"/>
      <x:c r="N104" s="42"/>
    </x:row>
    <x:row r="105" ht="23" customHeight="1">
      <x:c r="A105" s="42"/>
      <x:c r="B105" s="103"/>
      <x:c r="C105" s="104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03"/>
      <x:c r="L105" s="42"/>
      <x:c r="M105" s="42"/>
      <x:c r="N105" s="42"/>
    </x:row>
    <x:row r="106" ht="23" customHeight="1">
      <x:c r="A106" s="42"/>
      <x:c r="B106" s="103"/>
      <x:c r="C106" s="104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03"/>
      <x:c r="L106" s="42"/>
      <x:c r="M106" s="42"/>
      <x:c r="N106" s="42"/>
    </x:row>
    <x:row r="107" ht="23" customHeight="1">
      <x:c r="A107" s="42"/>
      <x:c r="B107" s="103"/>
      <x:c r="C107" s="104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03"/>
      <x:c r="L107" s="42"/>
      <x:c r="M107" s="42"/>
      <x:c r="N107" s="42"/>
    </x:row>
    <x:row r="108" ht="23" customHeight="1">
      <x:c r="A108" s="42"/>
      <x:c r="B108" s="103"/>
      <x:c r="C108" s="104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IF(A108="","",IF(OR(B108="",G108="",H108=""),"Thiếu thông tin",IF(I108&lt;0,"Trả thừa",IF(I108&gt;0,IF(H108=0,"Chưa trả","Trả một phần"),IF(OR(K108="",L108=""),"Bổ sung thông tin trả","Đã trả")))))</x:f>
      </x:c>
      <x:c r="K108" s="103"/>
      <x:c r="L108" s="42"/>
      <x:c r="M108" s="42"/>
      <x:c r="N108" s="42"/>
    </x:row>
    <x:row r="109" ht="23" customHeight="1">
      <x:c r="A109" s="42"/>
      <x:c r="B109" s="103"/>
      <x:c r="C109" s="104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03"/>
      <x:c r="L109" s="42"/>
      <x:c r="M109" s="42"/>
      <x:c r="N109" s="42"/>
    </x:row>
    <x:row r="110" ht="23" customHeight="1">
      <x:c r="A110" s="42"/>
      <x:c r="B110" s="103"/>
      <x:c r="C110" s="104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03"/>
      <x:c r="L110" s="42"/>
      <x:c r="M110" s="42"/>
      <x:c r="N110" s="42"/>
    </x:row>
    <x:row r="111">
      <x:c r="A111" s="64"/>
      <x:c r="B111" s="105"/>
      <x:c r="C111" s="106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05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1" priority="1" operator="containsText" text="Chưa trả"/>
    <x:cfRule type="containsText" dxfId="12" priority="2" operator="containsText" text="Trả một phần"/>
  </x:conditionalFormatting>
  <x:dataValidations count="1">
    <x:dataValidation type="list" sqref="L12:L111">
      <x:formula1>"Chuyển khoản,Séc,Tiền mặt,Khác"</x:formula1>
    </x:dataValidation>
  </x:dataValidations>
  <x:pageMargins left="0.7" right="0.7" top="0.75" bottom="0.75" header="0.3" footer="0.3"/>
  <x:drawing xmlns:r="http://schemas.openxmlformats.org/officeDocument/2006/relationships" r:id="R91349e2a8875401c"/>
  <x:tableParts count="1">
    <x:tablePart xmlns:r="http://schemas.openxmlformats.org/officeDocument/2006/relationships" r:id="Ra399dc7849114cbe"/>
  </x:tableParts>
</x:worksheet>
</file>
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fbf77c3ba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e9c3fcda97f84ff7"/>
    <x:sheet xmlns:r="http://schemas.openxmlformats.org/officeDocument/2006/relationships" name="Payment Register" sheetId="2" r:id="R5fad22713547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$#,##0.00;[Red]($#,##0.00)"/>
    <x:numFmt numFmtId="202" formatCode="0.00"/>
  </x:numFmts>
  <x:fonts count="6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9"/>
      <x:color rgb="FF23334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</x:fills>
  <x:borders count="2">
    <x:border/>
    <x:border>
      <x:top style="medium">
        <x:color rgb="FF123C60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2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DAD6"/>
        </x:patternFill>
      </x:fill>
    </x:dxf>
    <x:dxf>
      <x:fill>
        <x:patternFill patternType="solid">
          <x:bgColor rgb="FFFFDA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220192c1942b2" /><Relationship Type="http://schemas.openxmlformats.org/officeDocument/2006/relationships/theme" Target="/xl/theme/theme1.xml" Id="Rd003cbde37704681" /><Relationship Type="http://schemas.openxmlformats.org/officeDocument/2006/relationships/sharedStrings" Target="/xl/sharedStrings.xml" Id="R4df992f09e0d40a4" /><Relationship Type="http://schemas.openxmlformats.org/officeDocument/2006/relationships/worksheet" Target="/xl/worksheets/sheet1.xml" Id="Re9c3fcda97f84ff7" /><Relationship Type="http://schemas.openxmlformats.org/officeDocument/2006/relationships/worksheet" Target="/xl/worksheets/sheet2.xml" Id="R5fad2271354742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d5bd77279ff42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7999c05656a408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f8a9cc46-2fe0-4978-afc5-159a2b157a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5bd77279ff42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27961839-33c4-49c1-9912-6f77725c2c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99c05656a40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aymentRegister" displayName="PaymentRegister" ref="A11:N111" headerRowCount="1" totalsRowCount="0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073ba8ad6d43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b4a3c4141704354" /><Relationship Type="http://schemas.openxmlformats.org/officeDocument/2006/relationships/table" Target="/xl/tables/table1.xml" Id="R87fd7767b49d444a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9" hidden="0" customWidth="1"/>
    <x:col min="8" max="8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2"/>
      <x:c r="C2" s="3" t="str">
        <x:v>MV MANUFACTURING LLC</x:v>
      </x:c>
      <x:c r="D2" s="2"/>
      <x:c r="E2" s="2"/>
      <x:c r="F2" s="2"/>
      <x:c r="G2" s="2"/>
      <x:c r="H2" s="2"/>
    </x:row>
    <x:row r="3" ht="23" customHeight="1">
      <x:c r="A3" s="2"/>
      <x:c r="B3" s="2"/>
      <x:c r="C3" s="2" t="str">
        <x:v>BIWEEKLY EMPLOYEE PAYMENT FORM</x:v>
      </x:c>
      <x:c r="D3" s="2"/>
      <x:c r="E3" s="2"/>
      <x:c r="F3" s="2"/>
      <x:c r="G3" s="2"/>
      <x:c r="H3" s="2"/>
    </x:row>
    <x:row r="4" ht="23" customHeight="1">
      <x:c r="A4" s="2"/>
      <x:c r="B4" s="2"/>
      <x:c r="C4" s="2" t="str">
        <x:v>545 Aldo Ave, Ste 10 • Santa Clara, CA 95054</x:v>
      </x:c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" t="str">
        <x:v>Yellow cells = enter information  |  Blue-gray cells = automatic totals  |  USD</x:v>
      </x:c>
      <x:c r="B6" s="2"/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 t="str">
        <x:v>Employee name</x:v>
      </x:c>
      <x:c r="B8" s="4" t="str"/>
      <x:c r="C8" s="4"/>
      <x:c r="D8" s="4"/>
      <x:c r="E8" s="2" t="str">
        <x:v>Employee ID</x:v>
      </x:c>
      <x:c r="F8" s="4" t="str"/>
      <x:c r="G8" s="4"/>
      <x:c r="H8" s="4"/>
    </x:row>
    <x:row r="9" ht="23" customHeight="1">
      <x:c r="A9" s="2" t="str">
        <x:v>Period start</x:v>
      </x:c>
      <x:c r="B9" s="13"/>
      <x:c r="C9" s="2" t="str">
        <x:v>Period end</x:v>
      </x:c>
      <x:c r="D9" s="14" t="str">
        <x:f>IF(B9="","",B9+13)</x:f>
      </x:c>
      <x:c r="E9" s="2" t="str">
        <x:v>Pay date</x:v>
      </x:c>
      <x:c r="F9" s="13"/>
      <x:c r="G9" s="2" t="str">
        <x:v>Department / job</x:v>
      </x:c>
      <x:c r="H9" s="4"/>
    </x:row>
    <x:row r="10" ht="23" customHeight="1">
      <x:c r="A10" s="2" t="str">
        <x:v>Hourly rate</x:v>
      </x:c>
      <x:c r="B10" s="16"/>
      <x:c r="C10" s="2" t="str">
        <x:v>OT rate (1.5×)</x:v>
      </x:c>
      <x:c r="D10" s="17" t="str">
        <x:f>IF(B10="","",B10*1.5)</x:f>
      </x:c>
      <x:c r="E10" s="2" t="str">
        <x:v>DT rate (2×)</x:v>
      </x:c>
      <x:c r="F10" s="17" t="str">
        <x:f>IF(B10="","",B10*2)</x:f>
      </x:c>
      <x:c r="G10" s="2" t="str">
        <x:v>Workweek begins</x:v>
      </x:c>
      <x:c r="H10" s="4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23" customHeight="1">
      <x:c r="A12" s="2" t="str">
        <x:v>Enter approved hours in decimal form (7.5 = 7h 30m). Exclude unpaid breaks.</x:v>
      </x:c>
      <x:c r="B12" s="2"/>
      <x:c r="C12" s="2"/>
      <x:c r="D12" s="2"/>
      <x:c r="E12" s="2"/>
      <x:c r="F12" s="2"/>
      <x:c r="G12" s="2"/>
      <x:c r="H12" s="2"/>
    </x:row>
    <x:row r="13" ht="28" customHeight="1">
      <x:c r="A13" s="7" t="str">
        <x:v>Date</x:v>
      </x:c>
      <x:c r="B13" s="7" t="str">
        <x:v>Day</x:v>
      </x:c>
      <x:c r="C13" s="7" t="str">
        <x:v>Regular hrs</x:v>
      </x:c>
      <x:c r="D13" s="7" t="str">
        <x:v>OT hrs (1.5×)</x:v>
      </x:c>
      <x:c r="E13" s="7" t="str">
        <x:v>DT hrs (2×)</x:v>
      </x:c>
      <x:c r="F13" s="7" t="str">
        <x:v>Total hrs</x:v>
      </x:c>
      <x:c r="G13" s="7" t="str">
        <x:v>Work / job notes</x:v>
      </x:c>
      <x:c r="H13" s="7" t="str"/>
    </x:row>
    <x:row r="14" ht="23" customHeight="1">
      <x:c r="A14" s="14" t="str">
        <x:f>IF($B$9="","",$B$9+0)</x:f>
      </x:c>
      <x:c r="B14" s="2" t="str">
        <x:f>IF(A14="","",TEXT(A14,"ddd"))</x:f>
      </x:c>
      <x:c r="C14" s="19"/>
      <x:c r="D14" s="19"/>
      <x:c r="E14" s="19"/>
      <x:c r="F14" s="20" t="str">
        <x:f>IF(COUNT(C14:E14)=0,"",SUM(C14:E14))</x:f>
      </x:c>
      <x:c r="G14" s="4"/>
      <x:c r="H14" s="4"/>
    </x:row>
    <x:row r="15" ht="23" customHeight="1">
      <x:c r="A15" s="14" t="str">
        <x:f>IF($B$9="","",$B$9+1)</x:f>
      </x:c>
      <x:c r="B15" s="2" t="str">
        <x:f>IF(A15="","",TEXT(A15,"ddd"))</x:f>
      </x:c>
      <x:c r="C15" s="19"/>
      <x:c r="D15" s="19"/>
      <x:c r="E15" s="19"/>
      <x:c r="F15" s="20" t="str">
        <x:f>IF(COUNT(C15:E15)=0,"",SUM(C15:E15))</x:f>
      </x:c>
      <x:c r="G15" s="4"/>
      <x:c r="H15" s="4"/>
    </x:row>
    <x:row r="16" ht="23" customHeight="1">
      <x:c r="A16" s="14" t="str">
        <x:f>IF($B$9="","",$B$9+2)</x:f>
      </x:c>
      <x:c r="B16" s="2" t="str">
        <x:f>IF(A16="","",TEXT(A16,"ddd"))</x:f>
      </x:c>
      <x:c r="C16" s="19"/>
      <x:c r="D16" s="19"/>
      <x:c r="E16" s="19"/>
      <x:c r="F16" s="20" t="str">
        <x:f>IF(COUNT(C16:E16)=0,"",SUM(C16:E16))</x:f>
      </x:c>
      <x:c r="G16" s="4"/>
      <x:c r="H16" s="4"/>
    </x:row>
    <x:row r="17" ht="23" customHeight="1">
      <x:c r="A17" s="14" t="str">
        <x:f>IF($B$9="","",$B$9+3)</x:f>
      </x:c>
      <x:c r="B17" s="2" t="str">
        <x:f>IF(A17="","",TEXT(A17,"ddd"))</x:f>
      </x:c>
      <x:c r="C17" s="19"/>
      <x:c r="D17" s="19"/>
      <x:c r="E17" s="19"/>
      <x:c r="F17" s="20" t="str">
        <x:f>IF(COUNT(C17:E17)=0,"",SUM(C17:E17))</x:f>
      </x:c>
      <x:c r="G17" s="4"/>
      <x:c r="H17" s="4"/>
    </x:row>
    <x:row r="18" ht="23" customHeight="1">
      <x:c r="A18" s="14" t="str">
        <x:f>IF($B$9="","",$B$9+4)</x:f>
      </x:c>
      <x:c r="B18" s="2" t="str">
        <x:f>IF(A18="","",TEXT(A18,"ddd"))</x:f>
      </x:c>
      <x:c r="C18" s="19"/>
      <x:c r="D18" s="19"/>
      <x:c r="E18" s="19"/>
      <x:c r="F18" s="20" t="str">
        <x:f>IF(COUNT(C18:E18)=0,"",SUM(C18:E18))</x:f>
      </x:c>
      <x:c r="G18" s="4"/>
      <x:c r="H18" s="4"/>
    </x:row>
    <x:row r="19" ht="23" customHeight="1">
      <x:c r="A19" s="14" t="str">
        <x:f>IF($B$9="","",$B$9+5)</x:f>
      </x:c>
      <x:c r="B19" s="2" t="str">
        <x:f>IF(A19="","",TEXT(A19,"ddd"))</x:f>
      </x:c>
      <x:c r="C19" s="19"/>
      <x:c r="D19" s="19"/>
      <x:c r="E19" s="19"/>
      <x:c r="F19" s="20" t="str">
        <x:f>IF(COUNT(C19:E19)=0,"",SUM(C19:E19))</x:f>
      </x:c>
      <x:c r="G19" s="4"/>
      <x:c r="H19" s="4"/>
    </x:row>
    <x:row r="20" ht="23" customHeight="1">
      <x:c r="A20" s="14" t="str">
        <x:f>IF($B$9="","",$B$9+6)</x:f>
      </x:c>
      <x:c r="B20" s="2" t="str">
        <x:f>IF(A20="","",TEXT(A20,"ddd"))</x:f>
      </x:c>
      <x:c r="C20" s="19"/>
      <x:c r="D20" s="19"/>
      <x:c r="E20" s="19"/>
      <x:c r="F20" s="20" t="str">
        <x:f>IF(COUNT(C20:E20)=0,"",SUM(C20:E20))</x:f>
      </x:c>
      <x:c r="G20" s="4"/>
      <x:c r="H20" s="4"/>
    </x:row>
    <x:row r="21" ht="23" customHeight="1">
      <x:c r="A21" s="15" t="str">
        <x:f>IF($B$9="","",$B$9+7)</x:f>
      </x:c>
      <x:c r="B21" s="9" t="str">
        <x:f>IF(A21="","",TEXT(A21,"ddd"))</x:f>
      </x:c>
      <x:c r="C21" s="21"/>
      <x:c r="D21" s="21"/>
      <x:c r="E21" s="21"/>
      <x:c r="F21" s="22" t="str">
        <x:f>IF(COUNT(C21:E21)=0,"",SUM(C21:E21))</x:f>
      </x:c>
      <x:c r="G21" s="10"/>
      <x:c r="H21" s="10"/>
    </x:row>
    <x:row r="22" ht="23" customHeight="1">
      <x:c r="A22" s="14" t="str">
        <x:f>IF($B$9="","",$B$9+8)</x:f>
      </x:c>
      <x:c r="B22" s="2" t="str">
        <x:f>IF(A22="","",TEXT(A22,"ddd"))</x:f>
      </x:c>
      <x:c r="C22" s="19"/>
      <x:c r="D22" s="19"/>
      <x:c r="E22" s="19"/>
      <x:c r="F22" s="20" t="str">
        <x:f>IF(COUNT(C22:E22)=0,"",SUM(C22:E22))</x:f>
      </x:c>
      <x:c r="G22" s="4"/>
      <x:c r="H22" s="4"/>
    </x:row>
    <x:row r="23" ht="23" customHeight="1">
      <x:c r="A23" s="14" t="str">
        <x:f>IF($B$9="","",$B$9+9)</x:f>
      </x:c>
      <x:c r="B23" s="2" t="str">
        <x:f>IF(A23="","",TEXT(A23,"ddd"))</x:f>
      </x:c>
      <x:c r="C23" s="19"/>
      <x:c r="D23" s="19"/>
      <x:c r="E23" s="19"/>
      <x:c r="F23" s="20" t="str">
        <x:f>IF(COUNT(C23:E23)=0,"",SUM(C23:E23))</x:f>
      </x:c>
      <x:c r="G23" s="4"/>
      <x:c r="H23" s="4"/>
    </x:row>
    <x:row r="24" ht="23" customHeight="1">
      <x:c r="A24" s="14" t="str">
        <x:f>IF($B$9="","",$B$9+10)</x:f>
      </x:c>
      <x:c r="B24" s="2" t="str">
        <x:f>IF(A24="","",TEXT(A24,"ddd"))</x:f>
      </x:c>
      <x:c r="C24" s="19"/>
      <x:c r="D24" s="19"/>
      <x:c r="E24" s="19"/>
      <x:c r="F24" s="20" t="str">
        <x:f>IF(COUNT(C24:E24)=0,"",SUM(C24:E24))</x:f>
      </x:c>
      <x:c r="G24" s="4"/>
      <x:c r="H24" s="4"/>
    </x:row>
    <x:row r="25" ht="23" customHeight="1">
      <x:c r="A25" s="14" t="str">
        <x:f>IF($B$9="","",$B$9+11)</x:f>
      </x:c>
      <x:c r="B25" s="2" t="str">
        <x:f>IF(A25="","",TEXT(A25,"ddd"))</x:f>
      </x:c>
      <x:c r="C25" s="19"/>
      <x:c r="D25" s="19"/>
      <x:c r="E25" s="19"/>
      <x:c r="F25" s="20" t="str">
        <x:f>IF(COUNT(C25:E25)=0,"",SUM(C25:E25))</x:f>
      </x:c>
      <x:c r="G25" s="4"/>
      <x:c r="H25" s="4"/>
    </x:row>
    <x:row r="26" ht="23" customHeight="1">
      <x:c r="A26" s="14" t="str">
        <x:f>IF($B$9="","",$B$9+12)</x:f>
      </x:c>
      <x:c r="B26" s="2" t="str">
        <x:f>IF(A26="","",TEXT(A26,"ddd"))</x:f>
      </x:c>
      <x:c r="C26" s="19"/>
      <x:c r="D26" s="19"/>
      <x:c r="E26" s="19"/>
      <x:c r="F26" s="20" t="str">
        <x:f>IF(COUNT(C26:E26)=0,"",SUM(C26:E26))</x:f>
      </x:c>
      <x:c r="G26" s="4"/>
      <x:c r="H26" s="4"/>
    </x:row>
    <x:row r="27" ht="23" customHeight="1">
      <x:c r="A27" s="14" t="str">
        <x:f>IF($B$9="","",$B$9+13)</x:f>
      </x:c>
      <x:c r="B27" s="2" t="str">
        <x:f>IF(A27="","",TEXT(A27,"ddd"))</x:f>
      </x:c>
      <x:c r="C27" s="19"/>
      <x:c r="D27" s="19"/>
      <x:c r="E27" s="19"/>
      <x:c r="F27" s="20" t="str">
        <x:f>IF(COUNT(C27:E27)=0,"",SUM(C27:E27))</x:f>
      </x:c>
      <x:c r="G27" s="4"/>
      <x:c r="H27" s="4"/>
    </x:row>
    <x:row r="28" ht="23" customHeight="1">
      <x:c r="A28" s="7" t="str">
        <x:v>TOTAL</x:v>
      </x:c>
      <x:c r="B28" s="7"/>
      <x:c r="C28" s="23" t="str">
        <x:f>IF(COUNT(C14:E27)=0,"",SUM(C14:C27))</x:f>
      </x:c>
      <x:c r="D28" s="23" t="str">
        <x:f>IF(COUNT(C14:E27)=0,"",SUM(D14:D27))</x:f>
      </x:c>
      <x:c r="E28" s="23" t="str">
        <x:f>IF(COUNT(C14:E27)=0,"",SUM(E14:E27))</x:f>
      </x:c>
      <x:c r="F28" s="23" t="str">
        <x:f>IF(COUNT(C14:E27)=0,"",SUM(F14:F27))</x:f>
      </x:c>
      <x:c r="G28" s="7"/>
      <x:c r="H28" s="7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 t="str">
        <x:v>Days worked</x:v>
      </x:c>
      <x:c r="B30" s="2" t="str">
        <x:f>IF(COUNT(C14:E27)=0,"",COUNTIF(F14:F27,"&gt;0"))</x:f>
      </x:c>
      <x:c r="C30" s="2" t="str">
        <x:v>Regular pay</x:v>
      </x:c>
      <x:c r="D30" s="17" t="str">
        <x:f>IF(OR(B10="",C28=""),"",ROUND(C28*B10,2))</x:f>
      </x:c>
      <x:c r="E30" s="2" t="str">
        <x:v>Overtime pay</x:v>
      </x:c>
      <x:c r="F30" s="17" t="str">
        <x:f>IF(OR(B10="",D28=""),"",ROUND(D28*D10,2))</x:f>
      </x:c>
      <x:c r="G30" s="2" t="str">
        <x:v>Double-time pay</x:v>
      </x:c>
      <x:c r="H30" s="17" t="str">
        <x:f>IF(OR(B10="",E28=""),"",ROUND(E28*F10,2))</x:f>
      </x:c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 t="str">
        <x:v>Other approved earnings ($)</x:v>
      </x:c>
      <x:c r="B32" s="2"/>
      <x:c r="C32" s="2"/>
      <x:c r="D32" s="16"/>
      <x:c r="E32" s="2" t="str">
        <x:v>Include payroll-reviewed premiums / paid leave.</x:v>
      </x:c>
      <x:c r="F32" s="2"/>
      <x:c r="G32" s="2"/>
      <x:c r="H32" s="2"/>
    </x:row>
    <x:row r="33" ht="23" customHeight="1">
      <x:c r="A33" s="2" t="str">
        <x:v>GROSS PAY</x:v>
      </x:c>
      <x:c r="B33" s="2"/>
      <x:c r="C33" s="2"/>
      <x:c r="D33" s="17" t="str">
        <x:f>IF(D30="","",SUM(D30,F30,H30,D32))</x:f>
      </x:c>
      <x:c r="E33" s="2"/>
      <x:c r="F33" s="2"/>
      <x:c r="G33" s="2"/>
      <x:c r="H33" s="2"/>
    </x:row>
    <x:row r="34" ht="23" customHeight="1">
      <x:c r="A34" s="2" t="str">
        <x:v>Taxes + deductions ($)</x:v>
      </x:c>
      <x:c r="B34" s="2"/>
      <x:c r="C34" s="2"/>
      <x:c r="D34" s="16"/>
      <x:c r="E34" s="2" t="str">
        <x:v>Enter payroll total; enter 0 if none.</x:v>
      </x:c>
      <x:c r="F34" s="2"/>
      <x:c r="G34" s="2"/>
      <x:c r="H34" s="2"/>
    </x:row>
    <x:row r="35" ht="23" customHeight="1">
      <x:c r="A35" s="2" t="str">
        <x:v>Expense reimbursements ($)</x:v>
      </x:c>
      <x:c r="B35" s="2"/>
      <x:c r="C35" s="2"/>
      <x:c r="D35" s="16"/>
      <x:c r="E35" s="2" t="str">
        <x:v>Reimbursements are separate from earnings.</x:v>
      </x:c>
      <x:c r="F35" s="2"/>
      <x:c r="G35" s="2"/>
      <x:c r="H35" s="2"/>
    </x:row>
    <x:row r="36" ht="23" customHeight="1">
      <x:c r="A36" s="7" t="str">
        <x:v>NET PAYMENT</x:v>
      </x:c>
      <x:c r="B36" s="7"/>
      <x:c r="C36" s="7"/>
      <x:c r="D36" s="18" t="str">
        <x:f>IF(OR(D33="",D34=""),"",ROUND(D33-D34+N(D35),2))</x:f>
      </x:c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 t="str">
        <x:v>Amount paid</x:v>
      </x:c>
      <x:c r="F37" s="16"/>
      <x:c r="G37" s="2" t="str">
        <x:v>Balance due</x:v>
      </x:c>
      <x:c r="H37" s="17" t="str">
        <x:f>IF(D36="","",ROUND(D36-N(F37),2))</x:f>
      </x:c>
    </x:row>
    <x:row r="38" ht="23" customHeight="1">
      <x:c r="A38" s="2" t="str">
        <x:v>Method</x:v>
      </x:c>
      <x:c r="B38" s="4" t="str"/>
      <x:c r="C38" s="4"/>
      <x:c r="D38" s="4"/>
      <x:c r="E38" s="2" t="str">
        <x:v>Paid on</x:v>
      </x:c>
      <x:c r="F38" s="13"/>
      <x:c r="G38" s="2" t="str">
        <x:v>Reference #</x:v>
      </x:c>
      <x:c r="H38" s="4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 t="str">
        <x:v>Employee signature</x:v>
      </x:c>
      <x:c r="B40" s="2"/>
      <x:c r="C40" s="4" t="str"/>
      <x:c r="D40" s="4"/>
      <x:c r="E40" s="2" t="str">
        <x:v>Approved by / date</x:v>
      </x:c>
      <x:c r="F40" s="2"/>
      <x:c r="G40" s="4" t="str"/>
      <x:c r="H40" s="4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7" t="str">
        <x:v>HOW TO USE</x:v>
      </x:c>
      <x:c r="B42" s="7"/>
      <x:c r="C42" s="7"/>
      <x:c r="D42" s="7"/>
      <x:c r="E42" s="7"/>
      <x:c r="F42" s="7"/>
      <x:c r="G42" s="7"/>
      <x:c r="H42" s="7"/>
    </x:row>
    <x:row r="43" ht="23" customHeight="1">
      <x:c r="A43" s="12" t="str">
        <x:v>1. Save a copy for each employee and pay period. Enter dates, rate, and approved daily hours.</x:v>
      </x:c>
      <x:c r="B43" s="12"/>
      <x:c r="C43" s="12"/>
      <x:c r="D43" s="12"/>
      <x:c r="E43" s="12"/>
      <x:c r="F43" s="12"/>
      <x:c r="G43" s="12"/>
      <x:c r="H43" s="12"/>
    </x:row>
    <x:row r="44" ht="23" customHeight="1">
      <x:c r="A44" s="12" t="str">
        <x:v>2. Regular / OT / DT hours are entered manually; this form does not classify overtime automatically.</x:v>
      </x:c>
      <x:c r="B44" s="12"/>
      <x:c r="C44" s="12"/>
      <x:c r="D44" s="12"/>
      <x:c r="E44" s="12"/>
      <x:c r="F44" s="12"/>
      <x:c r="G44" s="12"/>
      <x:c r="H44" s="12"/>
    </x:row>
    <x:row r="45" ht="23" customHeight="1">
      <x:c r="A45" s="12" t="str">
        <x:v>3. California generally requires daily, weekly and seventh-day overtime; see the official source below.</x:v>
      </x:c>
      <x:c r="B45" s="12"/>
      <x:c r="C45" s="12"/>
      <x:c r="D45" s="12"/>
      <x:c r="E45" s="12"/>
      <x:c r="F45" s="12"/>
      <x:c r="G45" s="12"/>
      <x:c r="H45" s="12"/>
    </x:row>
    <x:row r="46" ht="23" customHeight="1">
      <x:c r="A46" s="12" t="str">
        <x:v>4. Use payroll-reviewed rates / earnings for bonuses, multiple rates or special schedules. Taxes are manual.</x:v>
      </x:c>
      <x:c r="B46" s="12"/>
      <x:c r="C46" s="12"/>
      <x:c r="D46" s="12"/>
      <x:c r="E46" s="12"/>
      <x:c r="F46" s="12"/>
      <x:c r="G46" s="12"/>
      <x:c r="H46" s="12"/>
    </x:row>
    <x:row r="47" ht="23" customHeight="1">
      <x:c r="A47" s="12" t="str">
        <x:v>5. Record the finalized payment as values in Payment Register. The register does not auto-link this form.</x:v>
      </x:c>
      <x:c r="B47" s="12"/>
      <x:c r="C47" s="12"/>
      <x:c r="D47" s="12"/>
      <x:c r="E47" s="12"/>
      <x:c r="F47" s="12"/>
      <x:c r="G47" s="12"/>
      <x:c r="H47" s="12"/>
    </x:row>
    <x:row r="48" ht="23" customHeight="1">
      <x:c r="A48" s="12" t="str">
        <x:v>Internal payment record, not a substitute for an itemized wage statement or underlying time records.</x:v>
      </x:c>
      <x:c r="B48" s="12"/>
      <x:c r="C48" s="12"/>
      <x:c r="D48" s="12"/>
      <x:c r="E48" s="12"/>
      <x:c r="F48" s="12"/>
      <x:c r="G48" s="12"/>
      <x:c r="H48" s="12"/>
    </x:row>
    <x:row r="49" ht="23" customHeight="1">
      <x:c r="A49" s="12" t="str">
        <x:v>CA overtime: https://www.dir.ca.gov/dlse/faq_overtime.htm</x:v>
      </x:c>
      <x:c r="B49" s="12"/>
      <x:c r="C49" s="12"/>
      <x:c r="D49" s="12"/>
      <x:c r="E49" s="12"/>
      <x:c r="F49" s="12"/>
      <x:c r="G49" s="12"/>
      <x:c r="H49" s="12"/>
    </x:row>
    <x:row r="50" ht="23" customHeight="1">
      <x:c r="A50" s="12" t="str">
        <x:v>Payroll records: https://www.dol.gov/agencies/whd/fact-sheets/21-flsa-recordkeeping</x:v>
      </x:c>
      <x:c r="B50" s="12"/>
      <x:c r="C50" s="12"/>
      <x:c r="D50" s="12"/>
      <x:c r="E50" s="12"/>
      <x:c r="F50" s="12"/>
      <x:c r="G50" s="12"/>
      <x:c r="H50" s="1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</x:sheetData>
  <x:mergeCells>
    <x:mergeCell ref="C2:H2"/>
    <x:mergeCell ref="C3:H3"/>
    <x:mergeCell ref="C4:H4"/>
    <x:mergeCell ref="A6:H6"/>
    <x:mergeCell ref="B8:D8"/>
    <x:mergeCell ref="F8:H8"/>
    <x:mergeCell ref="A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  <x:mergeCell ref="G27:H27"/>
    <x:mergeCell ref="A28:B28"/>
    <x:mergeCell ref="A32:C32"/>
    <x:mergeCell ref="E32:H32"/>
    <x:mergeCell ref="A33:C33"/>
    <x:mergeCell ref="A34:C34"/>
    <x:mergeCell ref="E34:H34"/>
    <x:mergeCell ref="A35:C35"/>
    <x:mergeCell ref="E35:H35"/>
    <x:mergeCell ref="A36:C36"/>
    <x:mergeCell ref="B38:D38"/>
    <x:mergeCell ref="A40:B40"/>
    <x:mergeCell ref="C40:D40"/>
    <x:mergeCell ref="E40:F40"/>
    <x:mergeCell ref="G40:H40"/>
    <x:mergeCell ref="A42:H42"/>
    <x:mergeCell ref="A43:H43"/>
    <x:mergeCell ref="A44:H44"/>
    <x:mergeCell ref="A45:H45"/>
    <x:mergeCell ref="A46:H46"/>
    <x:mergeCell ref="A47:H47"/>
    <x:mergeCell ref="A48:H48"/>
    <x:mergeCell ref="A49:H49"/>
    <x:mergeCell ref="A50:H50"/>
  </x:mergeCells>
  <x:conditionalFormatting sqref="F14:F27">
    <x:cfRule type="cellIs" dxfId="0" priority="1" operator="greaterThan">
      <x:formula>24</x:formula>
    </x:cfRule>
  </x:conditionalFormatting>
  <x:dataValidations count="2">
    <x:dataValidation type="list" sqref="B38">
      <x:formula1>"Direct deposit,Check,Cash,Other"</x:formula1>
    </x:dataValidation>
    <x:dataValidation type="decimal" operator="between" sqref="C14:E27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57073ba8ad6d4370"/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/>
      <x:c r="B2" s="2"/>
      <x:c r="C2" s="3" t="str">
        <x:v>MV MANUFACTURING LLC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 t="str">
        <x:v>EMPLOYEE PAYMENT REGISTER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 t="str">
        <x:v>One row per employee per pay period. Enter finalized values from the Employee Form or payroll records.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 t="str">
        <x:v>Total net payment</x:v>
      </x:c>
      <x:c r="B8" s="17" t="n">
        <x:f>SUM(G12:G111)</x:f>
        <x:v>0</x:v>
      </x:c>
      <x:c r="C8" s="2"/>
      <x:c r="D8" s="2" t="str">
        <x:v>Total paid</x:v>
      </x:c>
      <x:c r="E8" s="17" t="n">
        <x:f>SUM(H12:H111)</x:f>
        <x:v>0</x:v>
      </x:c>
      <x:c r="F8" s="2"/>
      <x:c r="G8" s="2" t="str">
        <x:v>Balance due</x:v>
      </x:c>
      <x:c r="H8" s="17" t="n">
        <x:f>SUM(I12:I111)</x:f>
        <x:v>0</x:v>
      </x:c>
      <x:c r="I8" s="2"/>
      <x:c r="J8" s="2"/>
      <x:c r="K8" s="2"/>
      <x:c r="L8" s="2"/>
      <x:c r="M8" s="2"/>
      <x:c r="N8" s="2"/>
    </x:row>
    <x:row r="9" ht="23" customHeight="1">
      <x:c r="A9" s="2" t="str">
        <x:v>Enter 0 for deductions / reimbursements / paid amount when none. Status reflects amounts and payment details, not payroll approval.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2" customHeight="1">
      <x:c r="A11" s="24" t="str">
        <x:v>Employee name</x:v>
      </x:c>
      <x:c r="B11" s="24" t="str">
        <x:v>Period start</x:v>
      </x:c>
      <x:c r="C11" s="24" t="str">
        <x:v>Period end</x:v>
      </x:c>
      <x:c r="D11" s="24" t="str">
        <x:v>Gross pay</x:v>
      </x:c>
      <x:c r="E11" s="24" t="str">
        <x:v>Taxes / deductions</x:v>
      </x:c>
      <x:c r="F11" s="24" t="str">
        <x:v>Reimbursements</x:v>
      </x:c>
      <x:c r="G11" s="24" t="str">
        <x:v>Net payment</x:v>
      </x:c>
      <x:c r="H11" s="24" t="str">
        <x:v>Amount paid</x:v>
      </x:c>
      <x:c r="I11" s="24" t="str">
        <x:v>Balance due</x:v>
      </x:c>
      <x:c r="J11" s="24" t="str">
        <x:v>Status</x:v>
      </x:c>
      <x:c r="K11" s="24" t="str">
        <x:v>Paid on</x:v>
      </x:c>
      <x:c r="L11" s="24" t="str">
        <x:v>Method</x:v>
      </x:c>
      <x:c r="M11" s="24" t="str">
        <x:v>Reference #</x:v>
      </x:c>
      <x:c r="N11" s="24" t="str">
        <x:v>Notes / employee ID</x:v>
      </x:c>
    </x:row>
    <x:row r="12" ht="23" customHeight="1">
      <x:c r="A12" s="4"/>
      <x:c r="B12" s="13"/>
      <x:c r="C12" s="14" t="str">
        <x:f>IF(B12="","",B12+13)</x:f>
      </x:c>
      <x:c r="D12" s="16"/>
      <x:c r="E12" s="16"/>
      <x:c r="F12" s="16"/>
      <x:c r="G12" s="17" t="str">
        <x:f>IF(OR(A12="",D12="",E12="",F12=""),"",ROUND(D12-E12+F12,2))</x:f>
      </x:c>
      <x:c r="H12" s="16"/>
      <x:c r="I12" s="17" t="str">
        <x:f>IF(OR(G12="",H12=""),"",ROUND(G12-H12,2))</x:f>
      </x:c>
      <x:c r="J12" s="2" t="str">
        <x:f>IF(A12="","",IF(OR(B12="",G12="",H12=""),"Incomplete",IF(I12&lt;0,"Overpaid",IF(I12&gt;0,IF(H12=0,"Unpaid","Partial"),IF(OR(K12="",L12=""),"Add paid details","Paid")))))</x:f>
      </x:c>
      <x:c r="K12" s="13"/>
      <x:c r="L12" s="4"/>
      <x:c r="M12" s="4"/>
      <x:c r="N12" s="4"/>
    </x:row>
    <x:row r="13" ht="23" customHeight="1">
      <x:c r="A13" s="4"/>
      <x:c r="B13" s="13"/>
      <x:c r="C13" s="14" t="str">
        <x:f>IF(B13="","",B13+13)</x:f>
      </x:c>
      <x:c r="D13" s="16"/>
      <x:c r="E13" s="16"/>
      <x:c r="F13" s="16"/>
      <x:c r="G13" s="17" t="str">
        <x:f>IF(OR(A13="",D13="",E13="",F13=""),"",ROUND(D13-E13+F13,2))</x:f>
      </x:c>
      <x:c r="H13" s="16"/>
      <x:c r="I13" s="17" t="str">
        <x:f>IF(OR(G13="",H13=""),"",ROUND(G13-H13,2))</x:f>
      </x:c>
      <x:c r="J13" s="2" t="str">
        <x:f>IF(A13="","",IF(OR(B13="",G13="",H13=""),"Incomplete",IF(I13&lt;0,"Overpaid",IF(I13&gt;0,IF(H13=0,"Unpaid","Partial"),IF(OR(K13="",L13=""),"Add paid details","Paid")))))</x:f>
      </x:c>
      <x:c r="K13" s="13"/>
      <x:c r="L13" s="4"/>
      <x:c r="M13" s="4"/>
      <x:c r="N13" s="4"/>
    </x:row>
    <x:row r="14" ht="23" customHeight="1">
      <x:c r="A14" s="4"/>
      <x:c r="B14" s="13"/>
      <x:c r="C14" s="14" t="str">
        <x:f>IF(B14="","",B14+13)</x:f>
      </x:c>
      <x:c r="D14" s="16"/>
      <x:c r="E14" s="16"/>
      <x:c r="F14" s="16"/>
      <x:c r="G14" s="17" t="str">
        <x:f>IF(OR(A14="",D14="",E14="",F14=""),"",ROUND(D14-E14+F14,2))</x:f>
      </x:c>
      <x:c r="H14" s="16"/>
      <x:c r="I14" s="17" t="str">
        <x:f>IF(OR(G14="",H14=""),"",ROUND(G14-H14,2))</x:f>
      </x:c>
      <x:c r="J14" s="2" t="str">
        <x:f>IF(A14="","",IF(OR(B14="",G14="",H14=""),"Incomplete",IF(I14&lt;0,"Overpaid",IF(I14&gt;0,IF(H14=0,"Unpaid","Partial"),IF(OR(K14="",L14=""),"Add paid details","Paid")))))</x:f>
      </x:c>
      <x:c r="K14" s="13"/>
      <x:c r="L14" s="4"/>
      <x:c r="M14" s="4"/>
      <x:c r="N14" s="4"/>
    </x:row>
    <x:row r="15" ht="23" customHeight="1">
      <x:c r="A15" s="4"/>
      <x:c r="B15" s="13"/>
      <x:c r="C15" s="14" t="str">
        <x:f>IF(B15="","",B15+13)</x:f>
      </x:c>
      <x:c r="D15" s="16"/>
      <x:c r="E15" s="16"/>
      <x:c r="F15" s="16"/>
      <x:c r="G15" s="17" t="str">
        <x:f>IF(OR(A15="",D15="",E15="",F15=""),"",ROUND(D15-E15+F15,2))</x:f>
      </x:c>
      <x:c r="H15" s="16"/>
      <x:c r="I15" s="17" t="str">
        <x:f>IF(OR(G15="",H15=""),"",ROUND(G15-H15,2))</x:f>
      </x:c>
      <x:c r="J15" s="2" t="str">
        <x:f>IF(A15="","",IF(OR(B15="",G15="",H15=""),"Incomplete",IF(I15&lt;0,"Overpaid",IF(I15&gt;0,IF(H15=0,"Unpaid","Partial"),IF(OR(K15="",L15=""),"Add paid details","Paid")))))</x:f>
      </x:c>
      <x:c r="K15" s="13"/>
      <x:c r="L15" s="4"/>
      <x:c r="M15" s="4"/>
      <x:c r="N15" s="4"/>
    </x:row>
    <x:row r="16" ht="23" customHeight="1">
      <x:c r="A16" s="4"/>
      <x:c r="B16" s="13"/>
      <x:c r="C16" s="14" t="str">
        <x:f>IF(B16="","",B16+13)</x:f>
      </x:c>
      <x:c r="D16" s="16"/>
      <x:c r="E16" s="16"/>
      <x:c r="F16" s="16"/>
      <x:c r="G16" s="17" t="str">
        <x:f>IF(OR(A16="",D16="",E16="",F16=""),"",ROUND(D16-E16+F16,2))</x:f>
      </x:c>
      <x:c r="H16" s="16"/>
      <x:c r="I16" s="17" t="str">
        <x:f>IF(OR(G16="",H16=""),"",ROUND(G16-H16,2))</x:f>
      </x:c>
      <x:c r="J16" s="2" t="str">
        <x:f>IF(A16="","",IF(OR(B16="",G16="",H16=""),"Incomplete",IF(I16&lt;0,"Overpaid",IF(I16&gt;0,IF(H16=0,"Unpaid","Partial"),IF(OR(K16="",L16=""),"Add paid details","Paid")))))</x:f>
      </x:c>
      <x:c r="K16" s="13"/>
      <x:c r="L16" s="4"/>
      <x:c r="M16" s="4"/>
      <x:c r="N16" s="4"/>
    </x:row>
    <x:row r="17" ht="23" customHeight="1">
      <x:c r="A17" s="4"/>
      <x:c r="B17" s="13"/>
      <x:c r="C17" s="14" t="str">
        <x:f>IF(B17="","",B17+13)</x:f>
      </x:c>
      <x:c r="D17" s="16"/>
      <x:c r="E17" s="16"/>
      <x:c r="F17" s="16"/>
      <x:c r="G17" s="17" t="str">
        <x:f>IF(OR(A17="",D17="",E17="",F17=""),"",ROUND(D17-E17+F17,2))</x:f>
      </x:c>
      <x:c r="H17" s="16"/>
      <x:c r="I17" s="17" t="str">
        <x:f>IF(OR(G17="",H17=""),"",ROUND(G17-H17,2))</x:f>
      </x:c>
      <x:c r="J17" s="2" t="str">
        <x:f>IF(A17="","",IF(OR(B17="",G17="",H17=""),"Incomplete",IF(I17&lt;0,"Overpaid",IF(I17&gt;0,IF(H17=0,"Unpaid","Partial"),IF(OR(K17="",L17=""),"Add paid details","Paid")))))</x:f>
      </x:c>
      <x:c r="K17" s="13"/>
      <x:c r="L17" s="4"/>
      <x:c r="M17" s="4"/>
      <x:c r="N17" s="4"/>
    </x:row>
    <x:row r="18" ht="23" customHeight="1">
      <x:c r="A18" s="4"/>
      <x:c r="B18" s="13"/>
      <x:c r="C18" s="14" t="str">
        <x:f>IF(B18="","",B18+13)</x:f>
      </x:c>
      <x:c r="D18" s="16"/>
      <x:c r="E18" s="16"/>
      <x:c r="F18" s="16"/>
      <x:c r="G18" s="17" t="str">
        <x:f>IF(OR(A18="",D18="",E18="",F18=""),"",ROUND(D18-E18+F18,2))</x:f>
      </x:c>
      <x:c r="H18" s="16"/>
      <x:c r="I18" s="17" t="str">
        <x:f>IF(OR(G18="",H18=""),"",ROUND(G18-H18,2))</x:f>
      </x:c>
      <x:c r="J18" s="2" t="str">
        <x:f>IF(A18="","",IF(OR(B18="",G18="",H18=""),"Incomplete",IF(I18&lt;0,"Overpaid",IF(I18&gt;0,IF(H18=0,"Unpaid","Partial"),IF(OR(K18="",L18=""),"Add paid details","Paid")))))</x:f>
      </x:c>
      <x:c r="K18" s="13"/>
      <x:c r="L18" s="4"/>
      <x:c r="M18" s="4"/>
      <x:c r="N18" s="4"/>
    </x:row>
    <x:row r="19" ht="23" customHeight="1">
      <x:c r="A19" s="4"/>
      <x:c r="B19" s="13"/>
      <x:c r="C19" s="14" t="str">
        <x:f>IF(B19="","",B19+13)</x:f>
      </x:c>
      <x:c r="D19" s="16"/>
      <x:c r="E19" s="16"/>
      <x:c r="F19" s="16"/>
      <x:c r="G19" s="17" t="str">
        <x:f>IF(OR(A19="",D19="",E19="",F19=""),"",ROUND(D19-E19+F19,2))</x:f>
      </x:c>
      <x:c r="H19" s="16"/>
      <x:c r="I19" s="17" t="str">
        <x:f>IF(OR(G19="",H19=""),"",ROUND(G19-H19,2))</x:f>
      </x:c>
      <x:c r="J19" s="2" t="str">
        <x:f>IF(A19="","",IF(OR(B19="",G19="",H19=""),"Incomplete",IF(I19&lt;0,"Overpaid",IF(I19&gt;0,IF(H19=0,"Unpaid","Partial"),IF(OR(K19="",L19=""),"Add paid details","Paid")))))</x:f>
      </x:c>
      <x:c r="K19" s="13"/>
      <x:c r="L19" s="4"/>
      <x:c r="M19" s="4"/>
      <x:c r="N19" s="4"/>
    </x:row>
    <x:row r="20" ht="23" customHeight="1">
      <x:c r="A20" s="4"/>
      <x:c r="B20" s="13"/>
      <x:c r="C20" s="14" t="str">
        <x:f>IF(B20="","",B20+13)</x:f>
      </x:c>
      <x:c r="D20" s="16"/>
      <x:c r="E20" s="16"/>
      <x:c r="F20" s="16"/>
      <x:c r="G20" s="17" t="str">
        <x:f>IF(OR(A20="",D20="",E20="",F20=""),"",ROUND(D20-E20+F20,2))</x:f>
      </x:c>
      <x:c r="H20" s="16"/>
      <x:c r="I20" s="17" t="str">
        <x:f>IF(OR(G20="",H20=""),"",ROUND(G20-H20,2))</x:f>
      </x:c>
      <x:c r="J20" s="2" t="str">
        <x:f>IF(A20="","",IF(OR(B20="",G20="",H20=""),"Incomplete",IF(I20&lt;0,"Overpaid",IF(I20&gt;0,IF(H20=0,"Unpaid","Partial"),IF(OR(K20="",L20=""),"Add paid details","Paid")))))</x:f>
      </x:c>
      <x:c r="K20" s="13"/>
      <x:c r="L20" s="4"/>
      <x:c r="M20" s="4"/>
      <x:c r="N20" s="4"/>
    </x:row>
    <x:row r="21" ht="23" customHeight="1">
      <x:c r="A21" s="4"/>
      <x:c r="B21" s="13"/>
      <x:c r="C21" s="14" t="str">
        <x:f>IF(B21="","",B21+13)</x:f>
      </x:c>
      <x:c r="D21" s="16"/>
      <x:c r="E21" s="16"/>
      <x:c r="F21" s="16"/>
      <x:c r="G21" s="17" t="str">
        <x:f>IF(OR(A21="",D21="",E21="",F21=""),"",ROUND(D21-E21+F21,2))</x:f>
      </x:c>
      <x:c r="H21" s="16"/>
      <x:c r="I21" s="17" t="str">
        <x:f>IF(OR(G21="",H21=""),"",ROUND(G21-H21,2))</x:f>
      </x:c>
      <x:c r="J21" s="2" t="str">
        <x:f>IF(A21="","",IF(OR(B21="",G21="",H21=""),"Incomplete",IF(I21&lt;0,"Overpaid",IF(I21&gt;0,IF(H21=0,"Unpaid","Partial"),IF(OR(K21="",L21=""),"Add paid details","Paid")))))</x:f>
      </x:c>
      <x:c r="K21" s="13"/>
      <x:c r="L21" s="4"/>
      <x:c r="M21" s="4"/>
      <x:c r="N21" s="4"/>
    </x:row>
    <x:row r="22" ht="23" customHeight="1">
      <x:c r="A22" s="4"/>
      <x:c r="B22" s="13"/>
      <x:c r="C22" s="14" t="str">
        <x:f>IF(B22="","",B22+13)</x:f>
      </x:c>
      <x:c r="D22" s="16"/>
      <x:c r="E22" s="16"/>
      <x:c r="F22" s="16"/>
      <x:c r="G22" s="17" t="str">
        <x:f>IF(OR(A22="",D22="",E22="",F22=""),"",ROUND(D22-E22+F22,2))</x:f>
      </x:c>
      <x:c r="H22" s="16"/>
      <x:c r="I22" s="17" t="str">
        <x:f>IF(OR(G22="",H22=""),"",ROUND(G22-H22,2))</x:f>
      </x:c>
      <x:c r="J22" s="2" t="str">
        <x:f>IF(A22="","",IF(OR(B22="",G22="",H22=""),"Incomplete",IF(I22&lt;0,"Overpaid",IF(I22&gt;0,IF(H22=0,"Unpaid","Partial"),IF(OR(K22="",L22=""),"Add paid details","Paid")))))</x:f>
      </x:c>
      <x:c r="K22" s="13"/>
      <x:c r="L22" s="4"/>
      <x:c r="M22" s="4"/>
      <x:c r="N22" s="4"/>
    </x:row>
    <x:row r="23" ht="23" customHeight="1">
      <x:c r="A23" s="4"/>
      <x:c r="B23" s="13"/>
      <x:c r="C23" s="14" t="str">
        <x:f>IF(B23="","",B23+13)</x:f>
      </x:c>
      <x:c r="D23" s="16"/>
      <x:c r="E23" s="16"/>
      <x:c r="F23" s="16"/>
      <x:c r="G23" s="17" t="str">
        <x:f>IF(OR(A23="",D23="",E23="",F23=""),"",ROUND(D23-E23+F23,2))</x:f>
      </x:c>
      <x:c r="H23" s="16"/>
      <x:c r="I23" s="17" t="str">
        <x:f>IF(OR(G23="",H23=""),"",ROUND(G23-H23,2))</x:f>
      </x:c>
      <x:c r="J23" s="2" t="str">
        <x:f>IF(A23="","",IF(OR(B23="",G23="",H23=""),"Incomplete",IF(I23&lt;0,"Overpaid",IF(I23&gt;0,IF(H23=0,"Unpaid","Partial"),IF(OR(K23="",L23=""),"Add paid details","Paid")))))</x:f>
      </x:c>
      <x:c r="K23" s="13"/>
      <x:c r="L23" s="4"/>
      <x:c r="M23" s="4"/>
      <x:c r="N23" s="4"/>
    </x:row>
    <x:row r="24" ht="23" customHeight="1">
      <x:c r="A24" s="4"/>
      <x:c r="B24" s="13"/>
      <x:c r="C24" s="14" t="str">
        <x:f>IF(B24="","",B24+13)</x:f>
      </x:c>
      <x:c r="D24" s="16"/>
      <x:c r="E24" s="16"/>
      <x:c r="F24" s="16"/>
      <x:c r="G24" s="17" t="str">
        <x:f>IF(OR(A24="",D24="",E24="",F24=""),"",ROUND(D24-E24+F24,2))</x:f>
      </x:c>
      <x:c r="H24" s="16"/>
      <x:c r="I24" s="17" t="str">
        <x:f>IF(OR(G24="",H24=""),"",ROUND(G24-H24,2))</x:f>
      </x:c>
      <x:c r="J24" s="2" t="str">
        <x:f>IF(A24="","",IF(OR(B24="",G24="",H24=""),"Incomplete",IF(I24&lt;0,"Overpaid",IF(I24&gt;0,IF(H24=0,"Unpaid","Partial"),IF(OR(K24="",L24=""),"Add paid details","Paid")))))</x:f>
      </x:c>
      <x:c r="K24" s="13"/>
      <x:c r="L24" s="4"/>
      <x:c r="M24" s="4"/>
      <x:c r="N24" s="4"/>
    </x:row>
    <x:row r="25" ht="23" customHeight="1">
      <x:c r="A25" s="4"/>
      <x:c r="B25" s="13"/>
      <x:c r="C25" s="14" t="str">
        <x:f>IF(B25="","",B25+13)</x:f>
      </x:c>
      <x:c r="D25" s="16"/>
      <x:c r="E25" s="16"/>
      <x:c r="F25" s="16"/>
      <x:c r="G25" s="17" t="str">
        <x:f>IF(OR(A25="",D25="",E25="",F25=""),"",ROUND(D25-E25+F25,2))</x:f>
      </x:c>
      <x:c r="H25" s="16"/>
      <x:c r="I25" s="17" t="str">
        <x:f>IF(OR(G25="",H25=""),"",ROUND(G25-H25,2))</x:f>
      </x:c>
      <x:c r="J25" s="2" t="str">
        <x:f>IF(A25="","",IF(OR(B25="",G25="",H25=""),"Incomplete",IF(I25&lt;0,"Overpaid",IF(I25&gt;0,IF(H25=0,"Unpaid","Partial"),IF(OR(K25="",L25=""),"Add paid details","Paid")))))</x:f>
      </x:c>
      <x:c r="K25" s="13"/>
      <x:c r="L25" s="4"/>
      <x:c r="M25" s="4"/>
      <x:c r="N25" s="4"/>
    </x:row>
    <x:row r="26" ht="23" customHeight="1">
      <x:c r="A26" s="4"/>
      <x:c r="B26" s="13"/>
      <x:c r="C26" s="14" t="str">
        <x:f>IF(B26="","",B26+13)</x:f>
      </x:c>
      <x:c r="D26" s="16"/>
      <x:c r="E26" s="16"/>
      <x:c r="F26" s="16"/>
      <x:c r="G26" s="17" t="str">
        <x:f>IF(OR(A26="",D26="",E26="",F26=""),"",ROUND(D26-E26+F26,2))</x:f>
      </x:c>
      <x:c r="H26" s="16"/>
      <x:c r="I26" s="17" t="str">
        <x:f>IF(OR(G26="",H26=""),"",ROUND(G26-H26,2))</x:f>
      </x:c>
      <x:c r="J26" s="2" t="str">
        <x:f>IF(A26="","",IF(OR(B26="",G26="",H26=""),"Incomplete",IF(I26&lt;0,"Overpaid",IF(I26&gt;0,IF(H26=0,"Unpaid","Partial"),IF(OR(K26="",L26=""),"Add paid details","Paid")))))</x:f>
      </x:c>
      <x:c r="K26" s="13"/>
      <x:c r="L26" s="4"/>
      <x:c r="M26" s="4"/>
      <x:c r="N26" s="4"/>
    </x:row>
    <x:row r="27" ht="23" customHeight="1">
      <x:c r="A27" s="4"/>
      <x:c r="B27" s="13"/>
      <x:c r="C27" s="14" t="str">
        <x:f>IF(B27="","",B27+13)</x:f>
      </x:c>
      <x:c r="D27" s="16"/>
      <x:c r="E27" s="16"/>
      <x:c r="F27" s="16"/>
      <x:c r="G27" s="17" t="str">
        <x:f>IF(OR(A27="",D27="",E27="",F27=""),"",ROUND(D27-E27+F27,2))</x:f>
      </x:c>
      <x:c r="H27" s="16"/>
      <x:c r="I27" s="17" t="str">
        <x:f>IF(OR(G27="",H27=""),"",ROUND(G27-H27,2))</x:f>
      </x:c>
      <x:c r="J27" s="2" t="str">
        <x:f>IF(A27="","",IF(OR(B27="",G27="",H27=""),"Incomplete",IF(I27&lt;0,"Overpaid",IF(I27&gt;0,IF(H27=0,"Unpaid","Partial"),IF(OR(K27="",L27=""),"Add paid details","Paid")))))</x:f>
      </x:c>
      <x:c r="K27" s="13"/>
      <x:c r="L27" s="4"/>
      <x:c r="M27" s="4"/>
      <x:c r="N27" s="4"/>
    </x:row>
    <x:row r="28" ht="23" customHeight="1">
      <x:c r="A28" s="4"/>
      <x:c r="B28" s="13"/>
      <x:c r="C28" s="14" t="str">
        <x:f>IF(B28="","",B28+13)</x:f>
      </x:c>
      <x:c r="D28" s="16"/>
      <x:c r="E28" s="16"/>
      <x:c r="F28" s="16"/>
      <x:c r="G28" s="17" t="str">
        <x:f>IF(OR(A28="",D28="",E28="",F28=""),"",ROUND(D28-E28+F28,2))</x:f>
      </x:c>
      <x:c r="H28" s="16"/>
      <x:c r="I28" s="17" t="str">
        <x:f>IF(OR(G28="",H28=""),"",ROUND(G28-H28,2))</x:f>
      </x:c>
      <x:c r="J28" s="2" t="str">
        <x:f>IF(A28="","",IF(OR(B28="",G28="",H28=""),"Incomplete",IF(I28&lt;0,"Overpaid",IF(I28&gt;0,IF(H28=0,"Unpaid","Partial"),IF(OR(K28="",L28=""),"Add paid details","Paid")))))</x:f>
      </x:c>
      <x:c r="K28" s="13"/>
      <x:c r="L28" s="4"/>
      <x:c r="M28" s="4"/>
      <x:c r="N28" s="4"/>
    </x:row>
    <x:row r="29" ht="23" customHeight="1">
      <x:c r="A29" s="4"/>
      <x:c r="B29" s="13"/>
      <x:c r="C29" s="14" t="str">
        <x:f>IF(B29="","",B29+13)</x:f>
      </x:c>
      <x:c r="D29" s="16"/>
      <x:c r="E29" s="16"/>
      <x:c r="F29" s="16"/>
      <x:c r="G29" s="17" t="str">
        <x:f>IF(OR(A29="",D29="",E29="",F29=""),"",ROUND(D29-E29+F29,2))</x:f>
      </x:c>
      <x:c r="H29" s="16"/>
      <x:c r="I29" s="17" t="str">
        <x:f>IF(OR(G29="",H29=""),"",ROUND(G29-H29,2))</x:f>
      </x:c>
      <x:c r="J29" s="2" t="str">
        <x:f>IF(A29="","",IF(OR(B29="",G29="",H29=""),"Incomplete",IF(I29&lt;0,"Overpaid",IF(I29&gt;0,IF(H29=0,"Unpaid","Partial"),IF(OR(K29="",L29=""),"Add paid details","Paid")))))</x:f>
      </x:c>
      <x:c r="K29" s="13"/>
      <x:c r="L29" s="4"/>
      <x:c r="M29" s="4"/>
      <x:c r="N29" s="4"/>
    </x:row>
    <x:row r="30" ht="23" customHeight="1">
      <x:c r="A30" s="4"/>
      <x:c r="B30" s="13"/>
      <x:c r="C30" s="14" t="str">
        <x:f>IF(B30="","",B30+13)</x:f>
      </x:c>
      <x:c r="D30" s="16"/>
      <x:c r="E30" s="16"/>
      <x:c r="F30" s="16"/>
      <x:c r="G30" s="17" t="str">
        <x:f>IF(OR(A30="",D30="",E30="",F30=""),"",ROUND(D30-E30+F30,2))</x:f>
      </x:c>
      <x:c r="H30" s="16"/>
      <x:c r="I30" s="17" t="str">
        <x:f>IF(OR(G30="",H30=""),"",ROUND(G30-H30,2))</x:f>
      </x:c>
      <x:c r="J30" s="2" t="str">
        <x:f>IF(A30="","",IF(OR(B30="",G30="",H30=""),"Incomplete",IF(I30&lt;0,"Overpaid",IF(I30&gt;0,IF(H30=0,"Unpaid","Partial"),IF(OR(K30="",L30=""),"Add paid details","Paid")))))</x:f>
      </x:c>
      <x:c r="K30" s="13"/>
      <x:c r="L30" s="4"/>
      <x:c r="M30" s="4"/>
      <x:c r="N30" s="4"/>
    </x:row>
    <x:row r="31" ht="23" customHeight="1">
      <x:c r="A31" s="4"/>
      <x:c r="B31" s="13"/>
      <x:c r="C31" s="14" t="str">
        <x:f>IF(B31="","",B31+13)</x:f>
      </x:c>
      <x:c r="D31" s="16"/>
      <x:c r="E31" s="16"/>
      <x:c r="F31" s="16"/>
      <x:c r="G31" s="17" t="str">
        <x:f>IF(OR(A31="",D31="",E31="",F31=""),"",ROUND(D31-E31+F31,2))</x:f>
      </x:c>
      <x:c r="H31" s="16"/>
      <x:c r="I31" s="17" t="str">
        <x:f>IF(OR(G31="",H31=""),"",ROUND(G31-H31,2))</x:f>
      </x:c>
      <x:c r="J31" s="2" t="str">
        <x:f>IF(A31="","",IF(OR(B31="",G31="",H31=""),"Incomplete",IF(I31&lt;0,"Overpaid",IF(I31&gt;0,IF(H31=0,"Unpaid","Partial"),IF(OR(K31="",L31=""),"Add paid details","Paid")))))</x:f>
      </x:c>
      <x:c r="K31" s="13"/>
      <x:c r="L31" s="4"/>
      <x:c r="M31" s="4"/>
      <x:c r="N31" s="4"/>
    </x:row>
    <x:row r="32" ht="23" customHeight="1">
      <x:c r="A32" s="4"/>
      <x:c r="B32" s="13"/>
      <x:c r="C32" s="14" t="str">
        <x:f>IF(B32="","",B32+13)</x:f>
      </x:c>
      <x:c r="D32" s="16"/>
      <x:c r="E32" s="16"/>
      <x:c r="F32" s="16"/>
      <x:c r="G32" s="17" t="str">
        <x:f>IF(OR(A32="",D32="",E32="",F32=""),"",ROUND(D32-E32+F32,2))</x:f>
      </x:c>
      <x:c r="H32" s="16"/>
      <x:c r="I32" s="17" t="str">
        <x:f>IF(OR(G32="",H32=""),"",ROUND(G32-H32,2))</x:f>
      </x:c>
      <x:c r="J32" s="2" t="str">
        <x:f>IF(A32="","",IF(OR(B32="",G32="",H32=""),"Incomplete",IF(I32&lt;0,"Overpaid",IF(I32&gt;0,IF(H32=0,"Unpaid","Partial"),IF(OR(K32="",L32=""),"Add paid details","Paid")))))</x:f>
      </x:c>
      <x:c r="K32" s="13"/>
      <x:c r="L32" s="4"/>
      <x:c r="M32" s="4"/>
      <x:c r="N32" s="4"/>
    </x:row>
    <x:row r="33" ht="23" customHeight="1">
      <x:c r="A33" s="4"/>
      <x:c r="B33" s="13"/>
      <x:c r="C33" s="14" t="str">
        <x:f>IF(B33="","",B33+13)</x:f>
      </x:c>
      <x:c r="D33" s="16"/>
      <x:c r="E33" s="16"/>
      <x:c r="F33" s="16"/>
      <x:c r="G33" s="17" t="str">
        <x:f>IF(OR(A33="",D33="",E33="",F33=""),"",ROUND(D33-E33+F33,2))</x:f>
      </x:c>
      <x:c r="H33" s="16"/>
      <x:c r="I33" s="17" t="str">
        <x:f>IF(OR(G33="",H33=""),"",ROUND(G33-H33,2))</x:f>
      </x:c>
      <x:c r="J33" s="2" t="str">
        <x:f>IF(A33="","",IF(OR(B33="",G33="",H33=""),"Incomplete",IF(I33&lt;0,"Overpaid",IF(I33&gt;0,IF(H33=0,"Unpaid","Partial"),IF(OR(K33="",L33=""),"Add paid details","Paid")))))</x:f>
      </x:c>
      <x:c r="K33" s="13"/>
      <x:c r="L33" s="4"/>
      <x:c r="M33" s="4"/>
      <x:c r="N33" s="4"/>
    </x:row>
    <x:row r="34" ht="23" customHeight="1">
      <x:c r="A34" s="4"/>
      <x:c r="B34" s="13"/>
      <x:c r="C34" s="14" t="str">
        <x:f>IF(B34="","",B34+13)</x:f>
      </x:c>
      <x:c r="D34" s="16"/>
      <x:c r="E34" s="16"/>
      <x:c r="F34" s="16"/>
      <x:c r="G34" s="17" t="str">
        <x:f>IF(OR(A34="",D34="",E34="",F34=""),"",ROUND(D34-E34+F34,2))</x:f>
      </x:c>
      <x:c r="H34" s="16"/>
      <x:c r="I34" s="17" t="str">
        <x:f>IF(OR(G34="",H34=""),"",ROUND(G34-H34,2))</x:f>
      </x:c>
      <x:c r="J34" s="2" t="str">
        <x:f>IF(A34="","",IF(OR(B34="",G34="",H34=""),"Incomplete",IF(I34&lt;0,"Overpaid",IF(I34&gt;0,IF(H34=0,"Unpaid","Partial"),IF(OR(K34="",L34=""),"Add paid details","Paid")))))</x:f>
      </x:c>
      <x:c r="K34" s="13"/>
      <x:c r="L34" s="4"/>
      <x:c r="M34" s="4"/>
      <x:c r="N34" s="4"/>
    </x:row>
    <x:row r="35" ht="23" customHeight="1">
      <x:c r="A35" s="4"/>
      <x:c r="B35" s="13"/>
      <x:c r="C35" s="14" t="str">
        <x:f>IF(B35="","",B35+13)</x:f>
      </x:c>
      <x:c r="D35" s="16"/>
      <x:c r="E35" s="16"/>
      <x:c r="F35" s="16"/>
      <x:c r="G35" s="17" t="str">
        <x:f>IF(OR(A35="",D35="",E35="",F35=""),"",ROUND(D35-E35+F35,2))</x:f>
      </x:c>
      <x:c r="H35" s="16"/>
      <x:c r="I35" s="17" t="str">
        <x:f>IF(OR(G35="",H35=""),"",ROUND(G35-H35,2))</x:f>
      </x:c>
      <x:c r="J35" s="2" t="str">
        <x:f>IF(A35="","",IF(OR(B35="",G35="",H35=""),"Incomplete",IF(I35&lt;0,"Overpaid",IF(I35&gt;0,IF(H35=0,"Unpaid","Partial"),IF(OR(K35="",L35=""),"Add paid details","Paid")))))</x:f>
      </x:c>
      <x:c r="K35" s="13"/>
      <x:c r="L35" s="4"/>
      <x:c r="M35" s="4"/>
      <x:c r="N35" s="4"/>
    </x:row>
    <x:row r="36" ht="23" customHeight="1">
      <x:c r="A36" s="4"/>
      <x:c r="B36" s="13"/>
      <x:c r="C36" s="14" t="str">
        <x:f>IF(B36="","",B36+13)</x:f>
      </x:c>
      <x:c r="D36" s="16"/>
      <x:c r="E36" s="16"/>
      <x:c r="F36" s="16"/>
      <x:c r="G36" s="17" t="str">
        <x:f>IF(OR(A36="",D36="",E36="",F36=""),"",ROUND(D36-E36+F36,2))</x:f>
      </x:c>
      <x:c r="H36" s="16"/>
      <x:c r="I36" s="17" t="str">
        <x:f>IF(OR(G36="",H36=""),"",ROUND(G36-H36,2))</x:f>
      </x:c>
      <x:c r="J36" s="2" t="str">
        <x:f>IF(A36="","",IF(OR(B36="",G36="",H36=""),"Incomplete",IF(I36&lt;0,"Overpaid",IF(I36&gt;0,IF(H36=0,"Unpaid","Partial"),IF(OR(K36="",L36=""),"Add paid details","Paid")))))</x:f>
      </x:c>
      <x:c r="K36" s="13"/>
      <x:c r="L36" s="4"/>
      <x:c r="M36" s="4"/>
      <x:c r="N36" s="4"/>
    </x:row>
    <x:row r="37" ht="23" customHeight="1">
      <x:c r="A37" s="4"/>
      <x:c r="B37" s="13"/>
      <x:c r="C37" s="14" t="str">
        <x:f>IF(B37="","",B37+13)</x:f>
      </x:c>
      <x:c r="D37" s="16"/>
      <x:c r="E37" s="16"/>
      <x:c r="F37" s="16"/>
      <x:c r="G37" s="17" t="str">
        <x:f>IF(OR(A37="",D37="",E37="",F37=""),"",ROUND(D37-E37+F37,2))</x:f>
      </x:c>
      <x:c r="H37" s="16"/>
      <x:c r="I37" s="17" t="str">
        <x:f>IF(OR(G37="",H37=""),"",ROUND(G37-H37,2))</x:f>
      </x:c>
      <x:c r="J37" s="2" t="str">
        <x:f>IF(A37="","",IF(OR(B37="",G37="",H37=""),"Incomplete",IF(I37&lt;0,"Overpaid",IF(I37&gt;0,IF(H37=0,"Unpaid","Partial"),IF(OR(K37="",L37=""),"Add paid details","Paid")))))</x:f>
      </x:c>
      <x:c r="K37" s="13"/>
      <x:c r="L37" s="4"/>
      <x:c r="M37" s="4"/>
      <x:c r="N37" s="4"/>
    </x:row>
    <x:row r="38" ht="23" customHeight="1">
      <x:c r="A38" s="4"/>
      <x:c r="B38" s="13"/>
      <x:c r="C38" s="14" t="str">
        <x:f>IF(B38="","",B38+13)</x:f>
      </x:c>
      <x:c r="D38" s="16"/>
      <x:c r="E38" s="16"/>
      <x:c r="F38" s="16"/>
      <x:c r="G38" s="17" t="str">
        <x:f>IF(OR(A38="",D38="",E38="",F38=""),"",ROUND(D38-E38+F38,2))</x:f>
      </x:c>
      <x:c r="H38" s="16"/>
      <x:c r="I38" s="17" t="str">
        <x:f>IF(OR(G38="",H38=""),"",ROUND(G38-H38,2))</x:f>
      </x:c>
      <x:c r="J38" s="2" t="str">
        <x:f>IF(A38="","",IF(OR(B38="",G38="",H38=""),"Incomplete",IF(I38&lt;0,"Overpaid",IF(I38&gt;0,IF(H38=0,"Unpaid","Partial"),IF(OR(K38="",L38=""),"Add paid details","Paid")))))</x:f>
      </x:c>
      <x:c r="K38" s="13"/>
      <x:c r="L38" s="4"/>
      <x:c r="M38" s="4"/>
      <x:c r="N38" s="4"/>
    </x:row>
    <x:row r="39" ht="23" customHeight="1">
      <x:c r="A39" s="4"/>
      <x:c r="B39" s="13"/>
      <x:c r="C39" s="14" t="str">
        <x:f>IF(B39="","",B39+13)</x:f>
      </x:c>
      <x:c r="D39" s="16"/>
      <x:c r="E39" s="16"/>
      <x:c r="F39" s="16"/>
      <x:c r="G39" s="17" t="str">
        <x:f>IF(OR(A39="",D39="",E39="",F39=""),"",ROUND(D39-E39+F39,2))</x:f>
      </x:c>
      <x:c r="H39" s="16"/>
      <x:c r="I39" s="17" t="str">
        <x:f>IF(OR(G39="",H39=""),"",ROUND(G39-H39,2))</x:f>
      </x:c>
      <x:c r="J39" s="2" t="str">
        <x:f>IF(A39="","",IF(OR(B39="",G39="",H39=""),"Incomplete",IF(I39&lt;0,"Overpaid",IF(I39&gt;0,IF(H39=0,"Unpaid","Partial"),IF(OR(K39="",L39=""),"Add paid details","Paid")))))</x:f>
      </x:c>
      <x:c r="K39" s="13"/>
      <x:c r="L39" s="4"/>
      <x:c r="M39" s="4"/>
      <x:c r="N39" s="4"/>
    </x:row>
    <x:row r="40" ht="23" customHeight="1">
      <x:c r="A40" s="4"/>
      <x:c r="B40" s="13"/>
      <x:c r="C40" s="14" t="str">
        <x:f>IF(B40="","",B40+13)</x:f>
      </x:c>
      <x:c r="D40" s="16"/>
      <x:c r="E40" s="16"/>
      <x:c r="F40" s="16"/>
      <x:c r="G40" s="17" t="str">
        <x:f>IF(OR(A40="",D40="",E40="",F40=""),"",ROUND(D40-E40+F40,2))</x:f>
      </x:c>
      <x:c r="H40" s="16"/>
      <x:c r="I40" s="17" t="str">
        <x:f>IF(OR(G40="",H40=""),"",ROUND(G40-H40,2))</x:f>
      </x:c>
      <x:c r="J40" s="2" t="str">
        <x:f>IF(A40="","",IF(OR(B40="",G40="",H40=""),"Incomplete",IF(I40&lt;0,"Overpaid",IF(I40&gt;0,IF(H40=0,"Unpaid","Partial"),IF(OR(K40="",L40=""),"Add paid details","Paid")))))</x:f>
      </x:c>
      <x:c r="K40" s="13"/>
      <x:c r="L40" s="4"/>
      <x:c r="M40" s="4"/>
      <x:c r="N40" s="4"/>
    </x:row>
    <x:row r="41" ht="23" customHeight="1">
      <x:c r="A41" s="4"/>
      <x:c r="B41" s="13"/>
      <x:c r="C41" s="14" t="str">
        <x:f>IF(B41="","",B41+13)</x:f>
      </x:c>
      <x:c r="D41" s="16"/>
      <x:c r="E41" s="16"/>
      <x:c r="F41" s="16"/>
      <x:c r="G41" s="17" t="str">
        <x:f>IF(OR(A41="",D41="",E41="",F41=""),"",ROUND(D41-E41+F41,2))</x:f>
      </x:c>
      <x:c r="H41" s="16"/>
      <x:c r="I41" s="17" t="str">
        <x:f>IF(OR(G41="",H41=""),"",ROUND(G41-H41,2))</x:f>
      </x:c>
      <x:c r="J41" s="2" t="str">
        <x:f>IF(A41="","",IF(OR(B41="",G41="",H41=""),"Incomplete",IF(I41&lt;0,"Overpaid",IF(I41&gt;0,IF(H41=0,"Unpaid","Partial"),IF(OR(K41="",L41=""),"Add paid details","Paid")))))</x:f>
      </x:c>
      <x:c r="K41" s="13"/>
      <x:c r="L41" s="4"/>
      <x:c r="M41" s="4"/>
      <x:c r="N41" s="4"/>
    </x:row>
    <x:row r="42" ht="23" customHeight="1">
      <x:c r="A42" s="4"/>
      <x:c r="B42" s="13"/>
      <x:c r="C42" s="14" t="str">
        <x:f>IF(B42="","",B42+13)</x:f>
      </x:c>
      <x:c r="D42" s="16"/>
      <x:c r="E42" s="16"/>
      <x:c r="F42" s="16"/>
      <x:c r="G42" s="17" t="str">
        <x:f>IF(OR(A42="",D42="",E42="",F42=""),"",ROUND(D42-E42+F42,2))</x:f>
      </x:c>
      <x:c r="H42" s="16"/>
      <x:c r="I42" s="17" t="str">
        <x:f>IF(OR(G42="",H42=""),"",ROUND(G42-H42,2))</x:f>
      </x:c>
      <x:c r="J42" s="2" t="str">
        <x:f>IF(A42="","",IF(OR(B42="",G42="",H42=""),"Incomplete",IF(I42&lt;0,"Overpaid",IF(I42&gt;0,IF(H42=0,"Unpaid","Partial"),IF(OR(K42="",L42=""),"Add paid details","Paid")))))</x:f>
      </x:c>
      <x:c r="K42" s="13"/>
      <x:c r="L42" s="4"/>
      <x:c r="M42" s="4"/>
      <x:c r="N42" s="4"/>
    </x:row>
    <x:row r="43" ht="23" customHeight="1">
      <x:c r="A43" s="4"/>
      <x:c r="B43" s="13"/>
      <x:c r="C43" s="14" t="str">
        <x:f>IF(B43="","",B43+13)</x:f>
      </x:c>
      <x:c r="D43" s="16"/>
      <x:c r="E43" s="16"/>
      <x:c r="F43" s="16"/>
      <x:c r="G43" s="17" t="str">
        <x:f>IF(OR(A43="",D43="",E43="",F43=""),"",ROUND(D43-E43+F43,2))</x:f>
      </x:c>
      <x:c r="H43" s="16"/>
      <x:c r="I43" s="17" t="str">
        <x:f>IF(OR(G43="",H43=""),"",ROUND(G43-H43,2))</x:f>
      </x:c>
      <x:c r="J43" s="2" t="str">
        <x:f>IF(A43="","",IF(OR(B43="",G43="",H43=""),"Incomplete",IF(I43&lt;0,"Overpaid",IF(I43&gt;0,IF(H43=0,"Unpaid","Partial"),IF(OR(K43="",L43=""),"Add paid details","Paid")))))</x:f>
      </x:c>
      <x:c r="K43" s="13"/>
      <x:c r="L43" s="4"/>
      <x:c r="M43" s="4"/>
      <x:c r="N43" s="4"/>
    </x:row>
    <x:row r="44" ht="23" customHeight="1">
      <x:c r="A44" s="4"/>
      <x:c r="B44" s="13"/>
      <x:c r="C44" s="14" t="str">
        <x:f>IF(B44="","",B44+13)</x:f>
      </x:c>
      <x:c r="D44" s="16"/>
      <x:c r="E44" s="16"/>
      <x:c r="F44" s="16"/>
      <x:c r="G44" s="17" t="str">
        <x:f>IF(OR(A44="",D44="",E44="",F44=""),"",ROUND(D44-E44+F44,2))</x:f>
      </x:c>
      <x:c r="H44" s="16"/>
      <x:c r="I44" s="17" t="str">
        <x:f>IF(OR(G44="",H44=""),"",ROUND(G44-H44,2))</x:f>
      </x:c>
      <x:c r="J44" s="2" t="str">
        <x:f>IF(A44="","",IF(OR(B44="",G44="",H44=""),"Incomplete",IF(I44&lt;0,"Overpaid",IF(I44&gt;0,IF(H44=0,"Unpaid","Partial"),IF(OR(K44="",L44=""),"Add paid details","Paid")))))</x:f>
      </x:c>
      <x:c r="K44" s="13"/>
      <x:c r="L44" s="4"/>
      <x:c r="M44" s="4"/>
      <x:c r="N44" s="4"/>
    </x:row>
    <x:row r="45" ht="23" customHeight="1">
      <x:c r="A45" s="4"/>
      <x:c r="B45" s="13"/>
      <x:c r="C45" s="14" t="str">
        <x:f>IF(B45="","",B45+13)</x:f>
      </x:c>
      <x:c r="D45" s="16"/>
      <x:c r="E45" s="16"/>
      <x:c r="F45" s="16"/>
      <x:c r="G45" s="17" t="str">
        <x:f>IF(OR(A45="",D45="",E45="",F45=""),"",ROUND(D45-E45+F45,2))</x:f>
      </x:c>
      <x:c r="H45" s="16"/>
      <x:c r="I45" s="17" t="str">
        <x:f>IF(OR(G45="",H45=""),"",ROUND(G45-H45,2))</x:f>
      </x:c>
      <x:c r="J45" s="2" t="str">
        <x:f>IF(A45="","",IF(OR(B45="",G45="",H45=""),"Incomplete",IF(I45&lt;0,"Overpaid",IF(I45&gt;0,IF(H45=0,"Unpaid","Partial"),IF(OR(K45="",L45=""),"Add paid details","Paid")))))</x:f>
      </x:c>
      <x:c r="K45" s="13"/>
      <x:c r="L45" s="4"/>
      <x:c r="M45" s="4"/>
      <x:c r="N45" s="4"/>
    </x:row>
    <x:row r="46" ht="23" customHeight="1">
      <x:c r="A46" s="4"/>
      <x:c r="B46" s="13"/>
      <x:c r="C46" s="14" t="str">
        <x:f>IF(B46="","",B46+13)</x:f>
      </x:c>
      <x:c r="D46" s="16"/>
      <x:c r="E46" s="16"/>
      <x:c r="F46" s="16"/>
      <x:c r="G46" s="17" t="str">
        <x:f>IF(OR(A46="",D46="",E46="",F46=""),"",ROUND(D46-E46+F46,2))</x:f>
      </x:c>
      <x:c r="H46" s="16"/>
      <x:c r="I46" s="17" t="str">
        <x:f>IF(OR(G46="",H46=""),"",ROUND(G46-H46,2))</x:f>
      </x:c>
      <x:c r="J46" s="2" t="str">
        <x:f>IF(A46="","",IF(OR(B46="",G46="",H46=""),"Incomplete",IF(I46&lt;0,"Overpaid",IF(I46&gt;0,IF(H46=0,"Unpaid","Partial"),IF(OR(K46="",L46=""),"Add paid details","Paid")))))</x:f>
      </x:c>
      <x:c r="K46" s="13"/>
      <x:c r="L46" s="4"/>
      <x:c r="M46" s="4"/>
      <x:c r="N46" s="4"/>
    </x:row>
    <x:row r="47" ht="23" customHeight="1">
      <x:c r="A47" s="4"/>
      <x:c r="B47" s="13"/>
      <x:c r="C47" s="14" t="str">
        <x:f>IF(B47="","",B47+13)</x:f>
      </x:c>
      <x:c r="D47" s="16"/>
      <x:c r="E47" s="16"/>
      <x:c r="F47" s="16"/>
      <x:c r="G47" s="17" t="str">
        <x:f>IF(OR(A47="",D47="",E47="",F47=""),"",ROUND(D47-E47+F47,2))</x:f>
      </x:c>
      <x:c r="H47" s="16"/>
      <x:c r="I47" s="17" t="str">
        <x:f>IF(OR(G47="",H47=""),"",ROUND(G47-H47,2))</x:f>
      </x:c>
      <x:c r="J47" s="2" t="str">
        <x:f>IF(A47="","",IF(OR(B47="",G47="",H47=""),"Incomplete",IF(I47&lt;0,"Overpaid",IF(I47&gt;0,IF(H47=0,"Unpaid","Partial"),IF(OR(K47="",L47=""),"Add paid details","Paid")))))</x:f>
      </x:c>
      <x:c r="K47" s="13"/>
      <x:c r="L47" s="4"/>
      <x:c r="M47" s="4"/>
      <x:c r="N47" s="4"/>
    </x:row>
    <x:row r="48" ht="23" customHeight="1">
      <x:c r="A48" s="4"/>
      <x:c r="B48" s="13"/>
      <x:c r="C48" s="14" t="str">
        <x:f>IF(B48="","",B48+13)</x:f>
      </x:c>
      <x:c r="D48" s="16"/>
      <x:c r="E48" s="16"/>
      <x:c r="F48" s="16"/>
      <x:c r="G48" s="17" t="str">
        <x:f>IF(OR(A48="",D48="",E48="",F48=""),"",ROUND(D48-E48+F48,2))</x:f>
      </x:c>
      <x:c r="H48" s="16"/>
      <x:c r="I48" s="17" t="str">
        <x:f>IF(OR(G48="",H48=""),"",ROUND(G48-H48,2))</x:f>
      </x:c>
      <x:c r="J48" s="2" t="str">
        <x:f>IF(A48="","",IF(OR(B48="",G48="",H48=""),"Incomplete",IF(I48&lt;0,"Overpaid",IF(I48&gt;0,IF(H48=0,"Unpaid","Partial"),IF(OR(K48="",L48=""),"Add paid details","Paid")))))</x:f>
      </x:c>
      <x:c r="K48" s="13"/>
      <x:c r="L48" s="4"/>
      <x:c r="M48" s="4"/>
      <x:c r="N48" s="4"/>
    </x:row>
    <x:row r="49" ht="23" customHeight="1">
      <x:c r="A49" s="4"/>
      <x:c r="B49" s="13"/>
      <x:c r="C49" s="14" t="str">
        <x:f>IF(B49="","",B49+13)</x:f>
      </x:c>
      <x:c r="D49" s="16"/>
      <x:c r="E49" s="16"/>
      <x:c r="F49" s="16"/>
      <x:c r="G49" s="17" t="str">
        <x:f>IF(OR(A49="",D49="",E49="",F49=""),"",ROUND(D49-E49+F49,2))</x:f>
      </x:c>
      <x:c r="H49" s="16"/>
      <x:c r="I49" s="17" t="str">
        <x:f>IF(OR(G49="",H49=""),"",ROUND(G49-H49,2))</x:f>
      </x:c>
      <x:c r="J49" s="2" t="str">
        <x:f>IF(A49="","",IF(OR(B49="",G49="",H49=""),"Incomplete",IF(I49&lt;0,"Overpaid",IF(I49&gt;0,IF(H49=0,"Unpaid","Partial"),IF(OR(K49="",L49=""),"Add paid details","Paid")))))</x:f>
      </x:c>
      <x:c r="K49" s="13"/>
      <x:c r="L49" s="4"/>
      <x:c r="M49" s="4"/>
      <x:c r="N49" s="4"/>
    </x:row>
    <x:row r="50" ht="23" customHeight="1">
      <x:c r="A50" s="4"/>
      <x:c r="B50" s="13"/>
      <x:c r="C50" s="14" t="str">
        <x:f>IF(B50="","",B50+13)</x:f>
      </x:c>
      <x:c r="D50" s="16"/>
      <x:c r="E50" s="16"/>
      <x:c r="F50" s="16"/>
      <x:c r="G50" s="17" t="str">
        <x:f>IF(OR(A50="",D50="",E50="",F50=""),"",ROUND(D50-E50+F50,2))</x:f>
      </x:c>
      <x:c r="H50" s="16"/>
      <x:c r="I50" s="17" t="str">
        <x:f>IF(OR(G50="",H50=""),"",ROUND(G50-H50,2))</x:f>
      </x:c>
      <x:c r="J50" s="2" t="str">
        <x:f>IF(A50="","",IF(OR(B50="",G50="",H50=""),"Incomplete",IF(I50&lt;0,"Overpaid",IF(I50&gt;0,IF(H50=0,"Unpaid","Partial"),IF(OR(K50="",L50=""),"Add paid details","Paid")))))</x:f>
      </x:c>
      <x:c r="K50" s="13"/>
      <x:c r="L50" s="4"/>
      <x:c r="M50" s="4"/>
      <x:c r="N50" s="4"/>
    </x:row>
    <x:row r="51" ht="23" customHeight="1">
      <x:c r="A51" s="4"/>
      <x:c r="B51" s="13"/>
      <x:c r="C51" s="14" t="str">
        <x:f>IF(B51="","",B51+13)</x:f>
      </x:c>
      <x:c r="D51" s="16"/>
      <x:c r="E51" s="16"/>
      <x:c r="F51" s="16"/>
      <x:c r="G51" s="17" t="str">
        <x:f>IF(OR(A51="",D51="",E51="",F51=""),"",ROUND(D51-E51+F51,2))</x:f>
      </x:c>
      <x:c r="H51" s="16"/>
      <x:c r="I51" s="17" t="str">
        <x:f>IF(OR(G51="",H51=""),"",ROUND(G51-H51,2))</x:f>
      </x:c>
      <x:c r="J51" s="2" t="str">
        <x:f>IF(A51="","",IF(OR(B51="",G51="",H51=""),"Incomplete",IF(I51&lt;0,"Overpaid",IF(I51&gt;0,IF(H51=0,"Unpaid","Partial"),IF(OR(K51="",L51=""),"Add paid details","Paid")))))</x:f>
      </x:c>
      <x:c r="K51" s="13"/>
      <x:c r="L51" s="4"/>
      <x:c r="M51" s="4"/>
      <x:c r="N51" s="4"/>
    </x:row>
    <x:row r="52" ht="23" customHeight="1">
      <x:c r="A52" s="4"/>
      <x:c r="B52" s="13"/>
      <x:c r="C52" s="14" t="str">
        <x:f>IF(B52="","",B52+13)</x:f>
      </x:c>
      <x:c r="D52" s="16"/>
      <x:c r="E52" s="16"/>
      <x:c r="F52" s="16"/>
      <x:c r="G52" s="17" t="str">
        <x:f>IF(OR(A52="",D52="",E52="",F52=""),"",ROUND(D52-E52+F52,2))</x:f>
      </x:c>
      <x:c r="H52" s="16"/>
      <x:c r="I52" s="17" t="str">
        <x:f>IF(OR(G52="",H52=""),"",ROUND(G52-H52,2))</x:f>
      </x:c>
      <x:c r="J52" s="2" t="str">
        <x:f>IF(A52="","",IF(OR(B52="",G52="",H52=""),"Incomplete",IF(I52&lt;0,"Overpaid",IF(I52&gt;0,IF(H52=0,"Unpaid","Partial"),IF(OR(K52="",L52=""),"Add paid details","Paid")))))</x:f>
      </x:c>
      <x:c r="K52" s="13"/>
      <x:c r="L52" s="4"/>
      <x:c r="M52" s="4"/>
      <x:c r="N52" s="4"/>
    </x:row>
    <x:row r="53" ht="23" customHeight="1">
      <x:c r="A53" s="4"/>
      <x:c r="B53" s="13"/>
      <x:c r="C53" s="14" t="str">
        <x:f>IF(B53="","",B53+13)</x:f>
      </x:c>
      <x:c r="D53" s="16"/>
      <x:c r="E53" s="16"/>
      <x:c r="F53" s="16"/>
      <x:c r="G53" s="17" t="str">
        <x:f>IF(OR(A53="",D53="",E53="",F53=""),"",ROUND(D53-E53+F53,2))</x:f>
      </x:c>
      <x:c r="H53" s="16"/>
      <x:c r="I53" s="17" t="str">
        <x:f>IF(OR(G53="",H53=""),"",ROUND(G53-H53,2))</x:f>
      </x:c>
      <x:c r="J53" s="2" t="str">
        <x:f>IF(A53="","",IF(OR(B53="",G53="",H53=""),"Incomplete",IF(I53&lt;0,"Overpaid",IF(I53&gt;0,IF(H53=0,"Unpaid","Partial"),IF(OR(K53="",L53=""),"Add paid details","Paid")))))</x:f>
      </x:c>
      <x:c r="K53" s="13"/>
      <x:c r="L53" s="4"/>
      <x:c r="M53" s="4"/>
      <x:c r="N53" s="4"/>
    </x:row>
    <x:row r="54" ht="23" customHeight="1">
      <x:c r="A54" s="4"/>
      <x:c r="B54" s="13"/>
      <x:c r="C54" s="14" t="str">
        <x:f>IF(B54="","",B54+13)</x:f>
      </x:c>
      <x:c r="D54" s="16"/>
      <x:c r="E54" s="16"/>
      <x:c r="F54" s="16"/>
      <x:c r="G54" s="17" t="str">
        <x:f>IF(OR(A54="",D54="",E54="",F54=""),"",ROUND(D54-E54+F54,2))</x:f>
      </x:c>
      <x:c r="H54" s="16"/>
      <x:c r="I54" s="17" t="str">
        <x:f>IF(OR(G54="",H54=""),"",ROUND(G54-H54,2))</x:f>
      </x:c>
      <x:c r="J54" s="2" t="str">
        <x:f>IF(A54="","",IF(OR(B54="",G54="",H54=""),"Incomplete",IF(I54&lt;0,"Overpaid",IF(I54&gt;0,IF(H54=0,"Unpaid","Partial"),IF(OR(K54="",L54=""),"Add paid details","Paid")))))</x:f>
      </x:c>
      <x:c r="K54" s="13"/>
      <x:c r="L54" s="4"/>
      <x:c r="M54" s="4"/>
      <x:c r="N54" s="4"/>
    </x:row>
    <x:row r="55" ht="23" customHeight="1">
      <x:c r="A55" s="4"/>
      <x:c r="B55" s="13"/>
      <x:c r="C55" s="14" t="str">
        <x:f>IF(B55="","",B55+13)</x:f>
      </x:c>
      <x:c r="D55" s="16"/>
      <x:c r="E55" s="16"/>
      <x:c r="F55" s="16"/>
      <x:c r="G55" s="17" t="str">
        <x:f>IF(OR(A55="",D55="",E55="",F55=""),"",ROUND(D55-E55+F55,2))</x:f>
      </x:c>
      <x:c r="H55" s="16"/>
      <x:c r="I55" s="17" t="str">
        <x:f>IF(OR(G55="",H55=""),"",ROUND(G55-H55,2))</x:f>
      </x:c>
      <x:c r="J55" s="2" t="str">
        <x:f>IF(A55="","",IF(OR(B55="",G55="",H55=""),"Incomplete",IF(I55&lt;0,"Overpaid",IF(I55&gt;0,IF(H55=0,"Unpaid","Partial"),IF(OR(K55="",L55=""),"Add paid details","Paid")))))</x:f>
      </x:c>
      <x:c r="K55" s="13"/>
      <x:c r="L55" s="4"/>
      <x:c r="M55" s="4"/>
      <x:c r="N55" s="4"/>
    </x:row>
    <x:row r="56" ht="23" customHeight="1">
      <x:c r="A56" s="4"/>
      <x:c r="B56" s="13"/>
      <x:c r="C56" s="14" t="str">
        <x:f>IF(B56="","",B56+13)</x:f>
      </x:c>
      <x:c r="D56" s="16"/>
      <x:c r="E56" s="16"/>
      <x:c r="F56" s="16"/>
      <x:c r="G56" s="17" t="str">
        <x:f>IF(OR(A56="",D56="",E56="",F56=""),"",ROUND(D56-E56+F56,2))</x:f>
      </x:c>
      <x:c r="H56" s="16"/>
      <x:c r="I56" s="17" t="str">
        <x:f>IF(OR(G56="",H56=""),"",ROUND(G56-H56,2))</x:f>
      </x:c>
      <x:c r="J56" s="2" t="str">
        <x:f>IF(A56="","",IF(OR(B56="",G56="",H56=""),"Incomplete",IF(I56&lt;0,"Overpaid",IF(I56&gt;0,IF(H56=0,"Unpaid","Partial"),IF(OR(K56="",L56=""),"Add paid details","Paid")))))</x:f>
      </x:c>
      <x:c r="K56" s="13"/>
      <x:c r="L56" s="4"/>
      <x:c r="M56" s="4"/>
      <x:c r="N56" s="4"/>
    </x:row>
    <x:row r="57" ht="23" customHeight="1">
      <x:c r="A57" s="4"/>
      <x:c r="B57" s="13"/>
      <x:c r="C57" s="14" t="str">
        <x:f>IF(B57="","",B57+13)</x:f>
      </x:c>
      <x:c r="D57" s="16"/>
      <x:c r="E57" s="16"/>
      <x:c r="F57" s="16"/>
      <x:c r="G57" s="17" t="str">
        <x:f>IF(OR(A57="",D57="",E57="",F57=""),"",ROUND(D57-E57+F57,2))</x:f>
      </x:c>
      <x:c r="H57" s="16"/>
      <x:c r="I57" s="17" t="str">
        <x:f>IF(OR(G57="",H57=""),"",ROUND(G57-H57,2))</x:f>
      </x:c>
      <x:c r="J57" s="2" t="str">
        <x:f>IF(A57="","",IF(OR(B57="",G57="",H57=""),"Incomplete",IF(I57&lt;0,"Overpaid",IF(I57&gt;0,IF(H57=0,"Unpaid","Partial"),IF(OR(K57="",L57=""),"Add paid details","Paid")))))</x:f>
      </x:c>
      <x:c r="K57" s="13"/>
      <x:c r="L57" s="4"/>
      <x:c r="M57" s="4"/>
      <x:c r="N57" s="4"/>
    </x:row>
    <x:row r="58" ht="23" customHeight="1">
      <x:c r="A58" s="4"/>
      <x:c r="B58" s="13"/>
      <x:c r="C58" s="14" t="str">
        <x:f>IF(B58="","",B58+13)</x:f>
      </x:c>
      <x:c r="D58" s="16"/>
      <x:c r="E58" s="16"/>
      <x:c r="F58" s="16"/>
      <x:c r="G58" s="17" t="str">
        <x:f>IF(OR(A58="",D58="",E58="",F58=""),"",ROUND(D58-E58+F58,2))</x:f>
      </x:c>
      <x:c r="H58" s="16"/>
      <x:c r="I58" s="17" t="str">
        <x:f>IF(OR(G58="",H58=""),"",ROUND(G58-H58,2))</x:f>
      </x:c>
      <x:c r="J58" s="2" t="str">
        <x:f>IF(A58="","",IF(OR(B58="",G58="",H58=""),"Incomplete",IF(I58&lt;0,"Overpaid",IF(I58&gt;0,IF(H58=0,"Unpaid","Partial"),IF(OR(K58="",L58=""),"Add paid details","Paid")))))</x:f>
      </x:c>
      <x:c r="K58" s="13"/>
      <x:c r="L58" s="4"/>
      <x:c r="M58" s="4"/>
      <x:c r="N58" s="4"/>
    </x:row>
    <x:row r="59" ht="23" customHeight="1">
      <x:c r="A59" s="4"/>
      <x:c r="B59" s="13"/>
      <x:c r="C59" s="14" t="str">
        <x:f>IF(B59="","",B59+13)</x:f>
      </x:c>
      <x:c r="D59" s="16"/>
      <x:c r="E59" s="16"/>
      <x:c r="F59" s="16"/>
      <x:c r="G59" s="17" t="str">
        <x:f>IF(OR(A59="",D59="",E59="",F59=""),"",ROUND(D59-E59+F59,2))</x:f>
      </x:c>
      <x:c r="H59" s="16"/>
      <x:c r="I59" s="17" t="str">
        <x:f>IF(OR(G59="",H59=""),"",ROUND(G59-H59,2))</x:f>
      </x:c>
      <x:c r="J59" s="2" t="str">
        <x:f>IF(A59="","",IF(OR(B59="",G59="",H59=""),"Incomplete",IF(I59&lt;0,"Overpaid",IF(I59&gt;0,IF(H59=0,"Unpaid","Partial"),IF(OR(K59="",L59=""),"Add paid details","Paid")))))</x:f>
      </x:c>
      <x:c r="K59" s="13"/>
      <x:c r="L59" s="4"/>
      <x:c r="M59" s="4"/>
      <x:c r="N59" s="4"/>
    </x:row>
    <x:row r="60" ht="23" customHeight="1">
      <x:c r="A60" s="4"/>
      <x:c r="B60" s="13"/>
      <x:c r="C60" s="14" t="str">
        <x:f>IF(B60="","",B60+13)</x:f>
      </x:c>
      <x:c r="D60" s="16"/>
      <x:c r="E60" s="16"/>
      <x:c r="F60" s="16"/>
      <x:c r="G60" s="17" t="str">
        <x:f>IF(OR(A60="",D60="",E60="",F60=""),"",ROUND(D60-E60+F60,2))</x:f>
      </x:c>
      <x:c r="H60" s="16"/>
      <x:c r="I60" s="17" t="str">
        <x:f>IF(OR(G60="",H60=""),"",ROUND(G60-H60,2))</x:f>
      </x:c>
      <x:c r="J60" s="2" t="str">
        <x:f>IF(A60="","",IF(OR(B60="",G60="",H60=""),"Incomplete",IF(I60&lt;0,"Overpaid",IF(I60&gt;0,IF(H60=0,"Unpaid","Partial"),IF(OR(K60="",L60=""),"Add paid details","Paid")))))</x:f>
      </x:c>
      <x:c r="K60" s="13"/>
      <x:c r="L60" s="4"/>
      <x:c r="M60" s="4"/>
      <x:c r="N60" s="4"/>
    </x:row>
    <x:row r="61" ht="23" customHeight="1">
      <x:c r="A61" s="4"/>
      <x:c r="B61" s="13"/>
      <x:c r="C61" s="14" t="str">
        <x:f>IF(B61="","",B61+13)</x:f>
      </x:c>
      <x:c r="D61" s="16"/>
      <x:c r="E61" s="16"/>
      <x:c r="F61" s="16"/>
      <x:c r="G61" s="17" t="str">
        <x:f>IF(OR(A61="",D61="",E61="",F61=""),"",ROUND(D61-E61+F61,2))</x:f>
      </x:c>
      <x:c r="H61" s="16"/>
      <x:c r="I61" s="17" t="str">
        <x:f>IF(OR(G61="",H61=""),"",ROUND(G61-H61,2))</x:f>
      </x:c>
      <x:c r="J61" s="2" t="str">
        <x:f>IF(A61="","",IF(OR(B61="",G61="",H61=""),"Incomplete",IF(I61&lt;0,"Overpaid",IF(I61&gt;0,IF(H61=0,"Unpaid","Partial"),IF(OR(K61="",L61=""),"Add paid details","Paid")))))</x:f>
      </x:c>
      <x:c r="K61" s="13"/>
      <x:c r="L61" s="4"/>
      <x:c r="M61" s="4"/>
      <x:c r="N61" s="4"/>
    </x:row>
    <x:row r="62" ht="23" customHeight="1">
      <x:c r="A62" s="4"/>
      <x:c r="B62" s="13"/>
      <x:c r="C62" s="14" t="str">
        <x:f>IF(B62="","",B62+13)</x:f>
      </x:c>
      <x:c r="D62" s="16"/>
      <x:c r="E62" s="16"/>
      <x:c r="F62" s="16"/>
      <x:c r="G62" s="17" t="str">
        <x:f>IF(OR(A62="",D62="",E62="",F62=""),"",ROUND(D62-E62+F62,2))</x:f>
      </x:c>
      <x:c r="H62" s="16"/>
      <x:c r="I62" s="17" t="str">
        <x:f>IF(OR(G62="",H62=""),"",ROUND(G62-H62,2))</x:f>
      </x:c>
      <x:c r="J62" s="2" t="str">
        <x:f>IF(A62="","",IF(OR(B62="",G62="",H62=""),"Incomplete",IF(I62&lt;0,"Overpaid",IF(I62&gt;0,IF(H62=0,"Unpaid","Partial"),IF(OR(K62="",L62=""),"Add paid details","Paid")))))</x:f>
      </x:c>
      <x:c r="K62" s="13"/>
      <x:c r="L62" s="4"/>
      <x:c r="M62" s="4"/>
      <x:c r="N62" s="4"/>
    </x:row>
    <x:row r="63" ht="23" customHeight="1">
      <x:c r="A63" s="4"/>
      <x:c r="B63" s="13"/>
      <x:c r="C63" s="14" t="str">
        <x:f>IF(B63="","",B63+13)</x:f>
      </x:c>
      <x:c r="D63" s="16"/>
      <x:c r="E63" s="16"/>
      <x:c r="F63" s="16"/>
      <x:c r="G63" s="17" t="str">
        <x:f>IF(OR(A63="",D63="",E63="",F63=""),"",ROUND(D63-E63+F63,2))</x:f>
      </x:c>
      <x:c r="H63" s="16"/>
      <x:c r="I63" s="17" t="str">
        <x:f>IF(OR(G63="",H63=""),"",ROUND(G63-H63,2))</x:f>
      </x:c>
      <x:c r="J63" s="2" t="str">
        <x:f>IF(A63="","",IF(OR(B63="",G63="",H63=""),"Incomplete",IF(I63&lt;0,"Overpaid",IF(I63&gt;0,IF(H63=0,"Unpaid","Partial"),IF(OR(K63="",L63=""),"Add paid details","Paid")))))</x:f>
      </x:c>
      <x:c r="K63" s="13"/>
      <x:c r="L63" s="4"/>
      <x:c r="M63" s="4"/>
      <x:c r="N63" s="4"/>
    </x:row>
    <x:row r="64" ht="23" customHeight="1">
      <x:c r="A64" s="4"/>
      <x:c r="B64" s="13"/>
      <x:c r="C64" s="14" t="str">
        <x:f>IF(B64="","",B64+13)</x:f>
      </x:c>
      <x:c r="D64" s="16"/>
      <x:c r="E64" s="16"/>
      <x:c r="F64" s="16"/>
      <x:c r="G64" s="17" t="str">
        <x:f>IF(OR(A64="",D64="",E64="",F64=""),"",ROUND(D64-E64+F64,2))</x:f>
      </x:c>
      <x:c r="H64" s="16"/>
      <x:c r="I64" s="17" t="str">
        <x:f>IF(OR(G64="",H64=""),"",ROUND(G64-H64,2))</x:f>
      </x:c>
      <x:c r="J64" s="2" t="str">
        <x:f>IF(A64="","",IF(OR(B64="",G64="",H64=""),"Incomplete",IF(I64&lt;0,"Overpaid",IF(I64&gt;0,IF(H64=0,"Unpaid","Partial"),IF(OR(K64="",L64=""),"Add paid details","Paid")))))</x:f>
      </x:c>
      <x:c r="K64" s="13"/>
      <x:c r="L64" s="4"/>
      <x:c r="M64" s="4"/>
      <x:c r="N64" s="4"/>
    </x:row>
    <x:row r="65" ht="23" customHeight="1">
      <x:c r="A65" s="4"/>
      <x:c r="B65" s="13"/>
      <x:c r="C65" s="14" t="str">
        <x:f>IF(B65="","",B65+13)</x:f>
      </x:c>
      <x:c r="D65" s="16"/>
      <x:c r="E65" s="16"/>
      <x:c r="F65" s="16"/>
      <x:c r="G65" s="17" t="str">
        <x:f>IF(OR(A65="",D65="",E65="",F65=""),"",ROUND(D65-E65+F65,2))</x:f>
      </x:c>
      <x:c r="H65" s="16"/>
      <x:c r="I65" s="17" t="str">
        <x:f>IF(OR(G65="",H65=""),"",ROUND(G65-H65,2))</x:f>
      </x:c>
      <x:c r="J65" s="2" t="str">
        <x:f>IF(A65="","",IF(OR(B65="",G65="",H65=""),"Incomplete",IF(I65&lt;0,"Overpaid",IF(I65&gt;0,IF(H65=0,"Unpaid","Partial"),IF(OR(K65="",L65=""),"Add paid details","Paid")))))</x:f>
      </x:c>
      <x:c r="K65" s="13"/>
      <x:c r="L65" s="4"/>
      <x:c r="M65" s="4"/>
      <x:c r="N65" s="4"/>
    </x:row>
    <x:row r="66" ht="23" customHeight="1">
      <x:c r="A66" s="4"/>
      <x:c r="B66" s="13"/>
      <x:c r="C66" s="14" t="str">
        <x:f>IF(B66="","",B66+13)</x:f>
      </x:c>
      <x:c r="D66" s="16"/>
      <x:c r="E66" s="16"/>
      <x:c r="F66" s="16"/>
      <x:c r="G66" s="17" t="str">
        <x:f>IF(OR(A66="",D66="",E66="",F66=""),"",ROUND(D66-E66+F66,2))</x:f>
      </x:c>
      <x:c r="H66" s="16"/>
      <x:c r="I66" s="17" t="str">
        <x:f>IF(OR(G66="",H66=""),"",ROUND(G66-H66,2))</x:f>
      </x:c>
      <x:c r="J66" s="2" t="str">
        <x:f>IF(A66="","",IF(OR(B66="",G66="",H66=""),"Incomplete",IF(I66&lt;0,"Overpaid",IF(I66&gt;0,IF(H66=0,"Unpaid","Partial"),IF(OR(K66="",L66=""),"Add paid details","Paid")))))</x:f>
      </x:c>
      <x:c r="K66" s="13"/>
      <x:c r="L66" s="4"/>
      <x:c r="M66" s="4"/>
      <x:c r="N66" s="4"/>
    </x:row>
    <x:row r="67" ht="23" customHeight="1">
      <x:c r="A67" s="4"/>
      <x:c r="B67" s="13"/>
      <x:c r="C67" s="14" t="str">
        <x:f>IF(B67="","",B67+13)</x:f>
      </x:c>
      <x:c r="D67" s="16"/>
      <x:c r="E67" s="16"/>
      <x:c r="F67" s="16"/>
      <x:c r="G67" s="17" t="str">
        <x:f>IF(OR(A67="",D67="",E67="",F67=""),"",ROUND(D67-E67+F67,2))</x:f>
      </x:c>
      <x:c r="H67" s="16"/>
      <x:c r="I67" s="17" t="str">
        <x:f>IF(OR(G67="",H67=""),"",ROUND(G67-H67,2))</x:f>
      </x:c>
      <x:c r="J67" s="2" t="str">
        <x:f>IF(A67="","",IF(OR(B67="",G67="",H67=""),"Incomplete",IF(I67&lt;0,"Overpaid",IF(I67&gt;0,IF(H67=0,"Unpaid","Partial"),IF(OR(K67="",L67=""),"Add paid details","Paid")))))</x:f>
      </x:c>
      <x:c r="K67" s="13"/>
      <x:c r="L67" s="4"/>
      <x:c r="M67" s="4"/>
      <x:c r="N67" s="4"/>
    </x:row>
    <x:row r="68" ht="23" customHeight="1">
      <x:c r="A68" s="4"/>
      <x:c r="B68" s="13"/>
      <x:c r="C68" s="14" t="str">
        <x:f>IF(B68="","",B68+13)</x:f>
      </x:c>
      <x:c r="D68" s="16"/>
      <x:c r="E68" s="16"/>
      <x:c r="F68" s="16"/>
      <x:c r="G68" s="17" t="str">
        <x:f>IF(OR(A68="",D68="",E68="",F68=""),"",ROUND(D68-E68+F68,2))</x:f>
      </x:c>
      <x:c r="H68" s="16"/>
      <x:c r="I68" s="17" t="str">
        <x:f>IF(OR(G68="",H68=""),"",ROUND(G68-H68,2))</x:f>
      </x:c>
      <x:c r="J68" s="2" t="str">
        <x:f>IF(A68="","",IF(OR(B68="",G68="",H68=""),"Incomplete",IF(I68&lt;0,"Overpaid",IF(I68&gt;0,IF(H68=0,"Unpaid","Partial"),IF(OR(K68="",L68=""),"Add paid details","Paid")))))</x:f>
      </x:c>
      <x:c r="K68" s="13"/>
      <x:c r="L68" s="4"/>
      <x:c r="M68" s="4"/>
      <x:c r="N68" s="4"/>
    </x:row>
    <x:row r="69" ht="23" customHeight="1">
      <x:c r="A69" s="4"/>
      <x:c r="B69" s="13"/>
      <x:c r="C69" s="14" t="str">
        <x:f>IF(B69="","",B69+13)</x:f>
      </x:c>
      <x:c r="D69" s="16"/>
      <x:c r="E69" s="16"/>
      <x:c r="F69" s="16"/>
      <x:c r="G69" s="17" t="str">
        <x:f>IF(OR(A69="",D69="",E69="",F69=""),"",ROUND(D69-E69+F69,2))</x:f>
      </x:c>
      <x:c r="H69" s="16"/>
      <x:c r="I69" s="17" t="str">
        <x:f>IF(OR(G69="",H69=""),"",ROUND(G69-H69,2))</x:f>
      </x:c>
      <x:c r="J69" s="2" t="str">
        <x:f>IF(A69="","",IF(OR(B69="",G69="",H69=""),"Incomplete",IF(I69&lt;0,"Overpaid",IF(I69&gt;0,IF(H69=0,"Unpaid","Partial"),IF(OR(K69="",L69=""),"Add paid details","Paid")))))</x:f>
      </x:c>
      <x:c r="K69" s="13"/>
      <x:c r="L69" s="4"/>
      <x:c r="M69" s="4"/>
      <x:c r="N69" s="4"/>
    </x:row>
    <x:row r="70" ht="23" customHeight="1">
      <x:c r="A70" s="4"/>
      <x:c r="B70" s="13"/>
      <x:c r="C70" s="14" t="str">
        <x:f>IF(B70="","",B70+13)</x:f>
      </x:c>
      <x:c r="D70" s="16"/>
      <x:c r="E70" s="16"/>
      <x:c r="F70" s="16"/>
      <x:c r="G70" s="17" t="str">
        <x:f>IF(OR(A70="",D70="",E70="",F70=""),"",ROUND(D70-E70+F70,2))</x:f>
      </x:c>
      <x:c r="H70" s="16"/>
      <x:c r="I70" s="17" t="str">
        <x:f>IF(OR(G70="",H70=""),"",ROUND(G70-H70,2))</x:f>
      </x:c>
      <x:c r="J70" s="2" t="str">
        <x:f>IF(A70="","",IF(OR(B70="",G70="",H70=""),"Incomplete",IF(I70&lt;0,"Overpaid",IF(I70&gt;0,IF(H70=0,"Unpaid","Partial"),IF(OR(K70="",L70=""),"Add paid details","Paid")))))</x:f>
      </x:c>
      <x:c r="K70" s="13"/>
      <x:c r="L70" s="4"/>
      <x:c r="M70" s="4"/>
      <x:c r="N70" s="4"/>
    </x:row>
    <x:row r="71" ht="23" customHeight="1">
      <x:c r="A71" s="4"/>
      <x:c r="B71" s="13"/>
      <x:c r="C71" s="14" t="str">
        <x:f>IF(B71="","",B71+13)</x:f>
      </x:c>
      <x:c r="D71" s="16"/>
      <x:c r="E71" s="16"/>
      <x:c r="F71" s="16"/>
      <x:c r="G71" s="17" t="str">
        <x:f>IF(OR(A71="",D71="",E71="",F71=""),"",ROUND(D71-E71+F71,2))</x:f>
      </x:c>
      <x:c r="H71" s="16"/>
      <x:c r="I71" s="17" t="str">
        <x:f>IF(OR(G71="",H71=""),"",ROUND(G71-H71,2))</x:f>
      </x:c>
      <x:c r="J71" s="2" t="str">
        <x:f>IF(A71="","",IF(OR(B71="",G71="",H71=""),"Incomplete",IF(I71&lt;0,"Overpaid",IF(I71&gt;0,IF(H71=0,"Unpaid","Partial"),IF(OR(K71="",L71=""),"Add paid details","Paid")))))</x:f>
      </x:c>
      <x:c r="K71" s="13"/>
      <x:c r="L71" s="4"/>
      <x:c r="M71" s="4"/>
      <x:c r="N71" s="4"/>
    </x:row>
    <x:row r="72" ht="23" customHeight="1">
      <x:c r="A72" s="4"/>
      <x:c r="B72" s="13"/>
      <x:c r="C72" s="14" t="str">
        <x:f>IF(B72="","",B72+13)</x:f>
      </x:c>
      <x:c r="D72" s="16"/>
      <x:c r="E72" s="16"/>
      <x:c r="F72" s="16"/>
      <x:c r="G72" s="17" t="str">
        <x:f>IF(OR(A72="",D72="",E72="",F72=""),"",ROUND(D72-E72+F72,2))</x:f>
      </x:c>
      <x:c r="H72" s="16"/>
      <x:c r="I72" s="17" t="str">
        <x:f>IF(OR(G72="",H72=""),"",ROUND(G72-H72,2))</x:f>
      </x:c>
      <x:c r="J72" s="2" t="str">
        <x:f>IF(A72="","",IF(OR(B72="",G72="",H72=""),"Incomplete",IF(I72&lt;0,"Overpaid",IF(I72&gt;0,IF(H72=0,"Unpaid","Partial"),IF(OR(K72="",L72=""),"Add paid details","Paid")))))</x:f>
      </x:c>
      <x:c r="K72" s="13"/>
      <x:c r="L72" s="4"/>
      <x:c r="M72" s="4"/>
      <x:c r="N72" s="4"/>
    </x:row>
    <x:row r="73" ht="23" customHeight="1">
      <x:c r="A73" s="4"/>
      <x:c r="B73" s="13"/>
      <x:c r="C73" s="14" t="str">
        <x:f>IF(B73="","",B73+13)</x:f>
      </x:c>
      <x:c r="D73" s="16"/>
      <x:c r="E73" s="16"/>
      <x:c r="F73" s="16"/>
      <x:c r="G73" s="17" t="str">
        <x:f>IF(OR(A73="",D73="",E73="",F73=""),"",ROUND(D73-E73+F73,2))</x:f>
      </x:c>
      <x:c r="H73" s="16"/>
      <x:c r="I73" s="17" t="str">
        <x:f>IF(OR(G73="",H73=""),"",ROUND(G73-H73,2))</x:f>
      </x:c>
      <x:c r="J73" s="2" t="str">
        <x:f>IF(A73="","",IF(OR(B73="",G73="",H73=""),"Incomplete",IF(I73&lt;0,"Overpaid",IF(I73&gt;0,IF(H73=0,"Unpaid","Partial"),IF(OR(K73="",L73=""),"Add paid details","Paid")))))</x:f>
      </x:c>
      <x:c r="K73" s="13"/>
      <x:c r="L73" s="4"/>
      <x:c r="M73" s="4"/>
      <x:c r="N73" s="4"/>
    </x:row>
    <x:row r="74" ht="23" customHeight="1">
      <x:c r="A74" s="4"/>
      <x:c r="B74" s="13"/>
      <x:c r="C74" s="14" t="str">
        <x:f>IF(B74="","",B74+13)</x:f>
      </x:c>
      <x:c r="D74" s="16"/>
      <x:c r="E74" s="16"/>
      <x:c r="F74" s="16"/>
      <x:c r="G74" s="17" t="str">
        <x:f>IF(OR(A74="",D74="",E74="",F74=""),"",ROUND(D74-E74+F74,2))</x:f>
      </x:c>
      <x:c r="H74" s="16"/>
      <x:c r="I74" s="17" t="str">
        <x:f>IF(OR(G74="",H74=""),"",ROUND(G74-H74,2))</x:f>
      </x:c>
      <x:c r="J74" s="2" t="str">
        <x:f>IF(A74="","",IF(OR(B74="",G74="",H74=""),"Incomplete",IF(I74&lt;0,"Overpaid",IF(I74&gt;0,IF(H74=0,"Unpaid","Partial"),IF(OR(K74="",L74=""),"Add paid details","Paid")))))</x:f>
      </x:c>
      <x:c r="K74" s="13"/>
      <x:c r="L74" s="4"/>
      <x:c r="M74" s="4"/>
      <x:c r="N74" s="4"/>
    </x:row>
    <x:row r="75" ht="23" customHeight="1">
      <x:c r="A75" s="4"/>
      <x:c r="B75" s="13"/>
      <x:c r="C75" s="14" t="str">
        <x:f>IF(B75="","",B75+13)</x:f>
      </x:c>
      <x:c r="D75" s="16"/>
      <x:c r="E75" s="16"/>
      <x:c r="F75" s="16"/>
      <x:c r="G75" s="17" t="str">
        <x:f>IF(OR(A75="",D75="",E75="",F75=""),"",ROUND(D75-E75+F75,2))</x:f>
      </x:c>
      <x:c r="H75" s="16"/>
      <x:c r="I75" s="17" t="str">
        <x:f>IF(OR(G75="",H75=""),"",ROUND(G75-H75,2))</x:f>
      </x:c>
      <x:c r="J75" s="2" t="str">
        <x:f>IF(A75="","",IF(OR(B75="",G75="",H75=""),"Incomplete",IF(I75&lt;0,"Overpaid",IF(I75&gt;0,IF(H75=0,"Unpaid","Partial"),IF(OR(K75="",L75=""),"Add paid details","Paid")))))</x:f>
      </x:c>
      <x:c r="K75" s="13"/>
      <x:c r="L75" s="4"/>
      <x:c r="M75" s="4"/>
      <x:c r="N75" s="4"/>
    </x:row>
    <x:row r="76" ht="23" customHeight="1">
      <x:c r="A76" s="4"/>
      <x:c r="B76" s="13"/>
      <x:c r="C76" s="14" t="str">
        <x:f>IF(B76="","",B76+13)</x:f>
      </x:c>
      <x:c r="D76" s="16"/>
      <x:c r="E76" s="16"/>
      <x:c r="F76" s="16"/>
      <x:c r="G76" s="17" t="str">
        <x:f>IF(OR(A76="",D76="",E76="",F76=""),"",ROUND(D76-E76+F76,2))</x:f>
      </x:c>
      <x:c r="H76" s="16"/>
      <x:c r="I76" s="17" t="str">
        <x:f>IF(OR(G76="",H76=""),"",ROUND(G76-H76,2))</x:f>
      </x:c>
      <x:c r="J76" s="2" t="str">
        <x:f>IF(A76="","",IF(OR(B76="",G76="",H76=""),"Incomplete",IF(I76&lt;0,"Overpaid",IF(I76&gt;0,IF(H76=0,"Unpaid","Partial"),IF(OR(K76="",L76=""),"Add paid details","Paid")))))</x:f>
      </x:c>
      <x:c r="K76" s="13"/>
      <x:c r="L76" s="4"/>
      <x:c r="M76" s="4"/>
      <x:c r="N76" s="4"/>
    </x:row>
    <x:row r="77" ht="23" customHeight="1">
      <x:c r="A77" s="4"/>
      <x:c r="B77" s="13"/>
      <x:c r="C77" s="14" t="str">
        <x:f>IF(B77="","",B77+13)</x:f>
      </x:c>
      <x:c r="D77" s="16"/>
      <x:c r="E77" s="16"/>
      <x:c r="F77" s="16"/>
      <x:c r="G77" s="17" t="str">
        <x:f>IF(OR(A77="",D77="",E77="",F77=""),"",ROUND(D77-E77+F77,2))</x:f>
      </x:c>
      <x:c r="H77" s="16"/>
      <x:c r="I77" s="17" t="str">
        <x:f>IF(OR(G77="",H77=""),"",ROUND(G77-H77,2))</x:f>
      </x:c>
      <x:c r="J77" s="2" t="str">
        <x:f>IF(A77="","",IF(OR(B77="",G77="",H77=""),"Incomplete",IF(I77&lt;0,"Overpaid",IF(I77&gt;0,IF(H77=0,"Unpaid","Partial"),IF(OR(K77="",L77=""),"Add paid details","Paid")))))</x:f>
      </x:c>
      <x:c r="K77" s="13"/>
      <x:c r="L77" s="4"/>
      <x:c r="M77" s="4"/>
      <x:c r="N77" s="4"/>
    </x:row>
    <x:row r="78" ht="23" customHeight="1">
      <x:c r="A78" s="4"/>
      <x:c r="B78" s="13"/>
      <x:c r="C78" s="14" t="str">
        <x:f>IF(B78="","",B78+13)</x:f>
      </x:c>
      <x:c r="D78" s="16"/>
      <x:c r="E78" s="16"/>
      <x:c r="F78" s="16"/>
      <x:c r="G78" s="17" t="str">
        <x:f>IF(OR(A78="",D78="",E78="",F78=""),"",ROUND(D78-E78+F78,2))</x:f>
      </x:c>
      <x:c r="H78" s="16"/>
      <x:c r="I78" s="17" t="str">
        <x:f>IF(OR(G78="",H78=""),"",ROUND(G78-H78,2))</x:f>
      </x:c>
      <x:c r="J78" s="2" t="str">
        <x:f>IF(A78="","",IF(OR(B78="",G78="",H78=""),"Incomplete",IF(I78&lt;0,"Overpaid",IF(I78&gt;0,IF(H78=0,"Unpaid","Partial"),IF(OR(K78="",L78=""),"Add paid details","Paid")))))</x:f>
      </x:c>
      <x:c r="K78" s="13"/>
      <x:c r="L78" s="4"/>
      <x:c r="M78" s="4"/>
      <x:c r="N78" s="4"/>
    </x:row>
    <x:row r="79" ht="23" customHeight="1">
      <x:c r="A79" s="4"/>
      <x:c r="B79" s="13"/>
      <x:c r="C79" s="14" t="str">
        <x:f>IF(B79="","",B79+13)</x:f>
      </x:c>
      <x:c r="D79" s="16"/>
      <x:c r="E79" s="16"/>
      <x:c r="F79" s="16"/>
      <x:c r="G79" s="17" t="str">
        <x:f>IF(OR(A79="",D79="",E79="",F79=""),"",ROUND(D79-E79+F79,2))</x:f>
      </x:c>
      <x:c r="H79" s="16"/>
      <x:c r="I79" s="17" t="str">
        <x:f>IF(OR(G79="",H79=""),"",ROUND(G79-H79,2))</x:f>
      </x:c>
      <x:c r="J79" s="2" t="str">
        <x:f>IF(A79="","",IF(OR(B79="",G79="",H79=""),"Incomplete",IF(I79&lt;0,"Overpaid",IF(I79&gt;0,IF(H79=0,"Unpaid","Partial"),IF(OR(K79="",L79=""),"Add paid details","Paid")))))</x:f>
      </x:c>
      <x:c r="K79" s="13"/>
      <x:c r="L79" s="4"/>
      <x:c r="M79" s="4"/>
      <x:c r="N79" s="4"/>
    </x:row>
    <x:row r="80" ht="23" customHeight="1">
      <x:c r="A80" s="4"/>
      <x:c r="B80" s="13"/>
      <x:c r="C80" s="14" t="str">
        <x:f>IF(B80="","",B80+13)</x:f>
      </x:c>
      <x:c r="D80" s="16"/>
      <x:c r="E80" s="16"/>
      <x:c r="F80" s="16"/>
      <x:c r="G80" s="17" t="str">
        <x:f>IF(OR(A80="",D80="",E80="",F80=""),"",ROUND(D80-E80+F80,2))</x:f>
      </x:c>
      <x:c r="H80" s="16"/>
      <x:c r="I80" s="17" t="str">
        <x:f>IF(OR(G80="",H80=""),"",ROUND(G80-H80,2))</x:f>
      </x:c>
      <x:c r="J80" s="2" t="str">
        <x:f>IF(A80="","",IF(OR(B80="",G80="",H80=""),"Incomplete",IF(I80&lt;0,"Overpaid",IF(I80&gt;0,IF(H80=0,"Unpaid","Partial"),IF(OR(K80="",L80=""),"Add paid details","Paid")))))</x:f>
      </x:c>
      <x:c r="K80" s="13"/>
      <x:c r="L80" s="4"/>
      <x:c r="M80" s="4"/>
      <x:c r="N80" s="4"/>
    </x:row>
    <x:row r="81" ht="23" customHeight="1">
      <x:c r="A81" s="4"/>
      <x:c r="B81" s="13"/>
      <x:c r="C81" s="14" t="str">
        <x:f>IF(B81="","",B81+13)</x:f>
      </x:c>
      <x:c r="D81" s="16"/>
      <x:c r="E81" s="16"/>
      <x:c r="F81" s="16"/>
      <x:c r="G81" s="17" t="str">
        <x:f>IF(OR(A81="",D81="",E81="",F81=""),"",ROUND(D81-E81+F81,2))</x:f>
      </x:c>
      <x:c r="H81" s="16"/>
      <x:c r="I81" s="17" t="str">
        <x:f>IF(OR(G81="",H81=""),"",ROUND(G81-H81,2))</x:f>
      </x:c>
      <x:c r="J81" s="2" t="str">
        <x:f>IF(A81="","",IF(OR(B81="",G81="",H81=""),"Incomplete",IF(I81&lt;0,"Overpaid",IF(I81&gt;0,IF(H81=0,"Unpaid","Partial"),IF(OR(K81="",L81=""),"Add paid details","Paid")))))</x:f>
      </x:c>
      <x:c r="K81" s="13"/>
      <x:c r="L81" s="4"/>
      <x:c r="M81" s="4"/>
      <x:c r="N81" s="4"/>
    </x:row>
    <x:row r="82" ht="23" customHeight="1">
      <x:c r="A82" s="4"/>
      <x:c r="B82" s="13"/>
      <x:c r="C82" s="14" t="str">
        <x:f>IF(B82="","",B82+13)</x:f>
      </x:c>
      <x:c r="D82" s="16"/>
      <x:c r="E82" s="16"/>
      <x:c r="F82" s="16"/>
      <x:c r="G82" s="17" t="str">
        <x:f>IF(OR(A82="",D82="",E82="",F82=""),"",ROUND(D82-E82+F82,2))</x:f>
      </x:c>
      <x:c r="H82" s="16"/>
      <x:c r="I82" s="17" t="str">
        <x:f>IF(OR(G82="",H82=""),"",ROUND(G82-H82,2))</x:f>
      </x:c>
      <x:c r="J82" s="2" t="str">
        <x:f>IF(A82="","",IF(OR(B82="",G82="",H82=""),"Incomplete",IF(I82&lt;0,"Overpaid",IF(I82&gt;0,IF(H82=0,"Unpaid","Partial"),IF(OR(K82="",L82=""),"Add paid details","Paid")))))</x:f>
      </x:c>
      <x:c r="K82" s="13"/>
      <x:c r="L82" s="4"/>
      <x:c r="M82" s="4"/>
      <x:c r="N82" s="4"/>
    </x:row>
    <x:row r="83" ht="23" customHeight="1">
      <x:c r="A83" s="4"/>
      <x:c r="B83" s="13"/>
      <x:c r="C83" s="14" t="str">
        <x:f>IF(B83="","",B83+13)</x:f>
      </x:c>
      <x:c r="D83" s="16"/>
      <x:c r="E83" s="16"/>
      <x:c r="F83" s="16"/>
      <x:c r="G83" s="17" t="str">
        <x:f>IF(OR(A83="",D83="",E83="",F83=""),"",ROUND(D83-E83+F83,2))</x:f>
      </x:c>
      <x:c r="H83" s="16"/>
      <x:c r="I83" s="17" t="str">
        <x:f>IF(OR(G83="",H83=""),"",ROUND(G83-H83,2))</x:f>
      </x:c>
      <x:c r="J83" s="2" t="str">
        <x:f>IF(A83="","",IF(OR(B83="",G83="",H83=""),"Incomplete",IF(I83&lt;0,"Overpaid",IF(I83&gt;0,IF(H83=0,"Unpaid","Partial"),IF(OR(K83="",L83=""),"Add paid details","Paid")))))</x:f>
      </x:c>
      <x:c r="K83" s="13"/>
      <x:c r="L83" s="4"/>
      <x:c r="M83" s="4"/>
      <x:c r="N83" s="4"/>
    </x:row>
    <x:row r="84" ht="23" customHeight="1">
      <x:c r="A84" s="4"/>
      <x:c r="B84" s="13"/>
      <x:c r="C84" s="14" t="str">
        <x:f>IF(B84="","",B84+13)</x:f>
      </x:c>
      <x:c r="D84" s="16"/>
      <x:c r="E84" s="16"/>
      <x:c r="F84" s="16"/>
      <x:c r="G84" s="17" t="str">
        <x:f>IF(OR(A84="",D84="",E84="",F84=""),"",ROUND(D84-E84+F84,2))</x:f>
      </x:c>
      <x:c r="H84" s="16"/>
      <x:c r="I84" s="17" t="str">
        <x:f>IF(OR(G84="",H84=""),"",ROUND(G84-H84,2))</x:f>
      </x:c>
      <x:c r="J84" s="2" t="str">
        <x:f>IF(A84="","",IF(OR(B84="",G84="",H84=""),"Incomplete",IF(I84&lt;0,"Overpaid",IF(I84&gt;0,IF(H84=0,"Unpaid","Partial"),IF(OR(K84="",L84=""),"Add paid details","Paid")))))</x:f>
      </x:c>
      <x:c r="K84" s="13"/>
      <x:c r="L84" s="4"/>
      <x:c r="M84" s="4"/>
      <x:c r="N84" s="4"/>
    </x:row>
    <x:row r="85" ht="23" customHeight="1">
      <x:c r="A85" s="4"/>
      <x:c r="B85" s="13"/>
      <x:c r="C85" s="14" t="str">
        <x:f>IF(B85="","",B85+13)</x:f>
      </x:c>
      <x:c r="D85" s="16"/>
      <x:c r="E85" s="16"/>
      <x:c r="F85" s="16"/>
      <x:c r="G85" s="17" t="str">
        <x:f>IF(OR(A85="",D85="",E85="",F85=""),"",ROUND(D85-E85+F85,2))</x:f>
      </x:c>
      <x:c r="H85" s="16"/>
      <x:c r="I85" s="17" t="str">
        <x:f>IF(OR(G85="",H85=""),"",ROUND(G85-H85,2))</x:f>
      </x:c>
      <x:c r="J85" s="2" t="str">
        <x:f>IF(A85="","",IF(OR(B85="",G85="",H85=""),"Incomplete",IF(I85&lt;0,"Overpaid",IF(I85&gt;0,IF(H85=0,"Unpaid","Partial"),IF(OR(K85="",L85=""),"Add paid details","Paid")))))</x:f>
      </x:c>
      <x:c r="K85" s="13"/>
      <x:c r="L85" s="4"/>
      <x:c r="M85" s="4"/>
      <x:c r="N85" s="4"/>
    </x:row>
    <x:row r="86" ht="23" customHeight="1">
      <x:c r="A86" s="4"/>
      <x:c r="B86" s="13"/>
      <x:c r="C86" s="14" t="str">
        <x:f>IF(B86="","",B86+13)</x:f>
      </x:c>
      <x:c r="D86" s="16"/>
      <x:c r="E86" s="16"/>
      <x:c r="F86" s="16"/>
      <x:c r="G86" s="17" t="str">
        <x:f>IF(OR(A86="",D86="",E86="",F86=""),"",ROUND(D86-E86+F86,2))</x:f>
      </x:c>
      <x:c r="H86" s="16"/>
      <x:c r="I86" s="17" t="str">
        <x:f>IF(OR(G86="",H86=""),"",ROUND(G86-H86,2))</x:f>
      </x:c>
      <x:c r="J86" s="2" t="str">
        <x:f>IF(A86="","",IF(OR(B86="",G86="",H86=""),"Incomplete",IF(I86&lt;0,"Overpaid",IF(I86&gt;0,IF(H86=0,"Unpaid","Partial"),IF(OR(K86="",L86=""),"Add paid details","Paid")))))</x:f>
      </x:c>
      <x:c r="K86" s="13"/>
      <x:c r="L86" s="4"/>
      <x:c r="M86" s="4"/>
      <x:c r="N86" s="4"/>
    </x:row>
    <x:row r="87" ht="23" customHeight="1">
      <x:c r="A87" s="4"/>
      <x:c r="B87" s="13"/>
      <x:c r="C87" s="14" t="str">
        <x:f>IF(B87="","",B87+13)</x:f>
      </x:c>
      <x:c r="D87" s="16"/>
      <x:c r="E87" s="16"/>
      <x:c r="F87" s="16"/>
      <x:c r="G87" s="17" t="str">
        <x:f>IF(OR(A87="",D87="",E87="",F87=""),"",ROUND(D87-E87+F87,2))</x:f>
      </x:c>
      <x:c r="H87" s="16"/>
      <x:c r="I87" s="17" t="str">
        <x:f>IF(OR(G87="",H87=""),"",ROUND(G87-H87,2))</x:f>
      </x:c>
      <x:c r="J87" s="2" t="str">
        <x:f>IF(A87="","",IF(OR(B87="",G87="",H87=""),"Incomplete",IF(I87&lt;0,"Overpaid",IF(I87&gt;0,IF(H87=0,"Unpaid","Partial"),IF(OR(K87="",L87=""),"Add paid details","Paid")))))</x:f>
      </x:c>
      <x:c r="K87" s="13"/>
      <x:c r="L87" s="4"/>
      <x:c r="M87" s="4"/>
      <x:c r="N87" s="4"/>
    </x:row>
    <x:row r="88" ht="23" customHeight="1">
      <x:c r="A88" s="4"/>
      <x:c r="B88" s="13"/>
      <x:c r="C88" s="14" t="str">
        <x:f>IF(B88="","",B88+13)</x:f>
      </x:c>
      <x:c r="D88" s="16"/>
      <x:c r="E88" s="16"/>
      <x:c r="F88" s="16"/>
      <x:c r="G88" s="17" t="str">
        <x:f>IF(OR(A88="",D88="",E88="",F88=""),"",ROUND(D88-E88+F88,2))</x:f>
      </x:c>
      <x:c r="H88" s="16"/>
      <x:c r="I88" s="17" t="str">
        <x:f>IF(OR(G88="",H88=""),"",ROUND(G88-H88,2))</x:f>
      </x:c>
      <x:c r="J88" s="2" t="str">
        <x:f>IF(A88="","",IF(OR(B88="",G88="",H88=""),"Incomplete",IF(I88&lt;0,"Overpaid",IF(I88&gt;0,IF(H88=0,"Unpaid","Partial"),IF(OR(K88="",L88=""),"Add paid details","Paid")))))</x:f>
      </x:c>
      <x:c r="K88" s="13"/>
      <x:c r="L88" s="4"/>
      <x:c r="M88" s="4"/>
      <x:c r="N88" s="4"/>
    </x:row>
    <x:row r="89" ht="23" customHeight="1">
      <x:c r="A89" s="4"/>
      <x:c r="B89" s="13"/>
      <x:c r="C89" s="14" t="str">
        <x:f>IF(B89="","",B89+13)</x:f>
      </x:c>
      <x:c r="D89" s="16"/>
      <x:c r="E89" s="16"/>
      <x:c r="F89" s="16"/>
      <x:c r="G89" s="17" t="str">
        <x:f>IF(OR(A89="",D89="",E89="",F89=""),"",ROUND(D89-E89+F89,2))</x:f>
      </x:c>
      <x:c r="H89" s="16"/>
      <x:c r="I89" s="17" t="str">
        <x:f>IF(OR(G89="",H89=""),"",ROUND(G89-H89,2))</x:f>
      </x:c>
      <x:c r="J89" s="2" t="str">
        <x:f>IF(A89="","",IF(OR(B89="",G89="",H89=""),"Incomplete",IF(I89&lt;0,"Overpaid",IF(I89&gt;0,IF(H89=0,"Unpaid","Partial"),IF(OR(K89="",L89=""),"Add paid details","Paid")))))</x:f>
      </x:c>
      <x:c r="K89" s="13"/>
      <x:c r="L89" s="4"/>
      <x:c r="M89" s="4"/>
      <x:c r="N89" s="4"/>
    </x:row>
    <x:row r="90" ht="23" customHeight="1">
      <x:c r="A90" s="4"/>
      <x:c r="B90" s="13"/>
      <x:c r="C90" s="14" t="str">
        <x:f>IF(B90="","",B90+13)</x:f>
      </x:c>
      <x:c r="D90" s="16"/>
      <x:c r="E90" s="16"/>
      <x:c r="F90" s="16"/>
      <x:c r="G90" s="17" t="str">
        <x:f>IF(OR(A90="",D90="",E90="",F90=""),"",ROUND(D90-E90+F90,2))</x:f>
      </x:c>
      <x:c r="H90" s="16"/>
      <x:c r="I90" s="17" t="str">
        <x:f>IF(OR(G90="",H90=""),"",ROUND(G90-H90,2))</x:f>
      </x:c>
      <x:c r="J90" s="2" t="str">
        <x:f>IF(A90="","",IF(OR(B90="",G90="",H90=""),"Incomplete",IF(I90&lt;0,"Overpaid",IF(I90&gt;0,IF(H90=0,"Unpaid","Partial"),IF(OR(K90="",L90=""),"Add paid details","Paid")))))</x:f>
      </x:c>
      <x:c r="K90" s="13"/>
      <x:c r="L90" s="4"/>
      <x:c r="M90" s="4"/>
      <x:c r="N90" s="4"/>
    </x:row>
    <x:row r="91" ht="23" customHeight="1">
      <x:c r="A91" s="4"/>
      <x:c r="B91" s="13"/>
      <x:c r="C91" s="14" t="str">
        <x:f>IF(B91="","",B91+13)</x:f>
      </x:c>
      <x:c r="D91" s="16"/>
      <x:c r="E91" s="16"/>
      <x:c r="F91" s="16"/>
      <x:c r="G91" s="17" t="str">
        <x:f>IF(OR(A91="",D91="",E91="",F91=""),"",ROUND(D91-E91+F91,2))</x:f>
      </x:c>
      <x:c r="H91" s="16"/>
      <x:c r="I91" s="17" t="str">
        <x:f>IF(OR(G91="",H91=""),"",ROUND(G91-H91,2))</x:f>
      </x:c>
      <x:c r="J91" s="2" t="str">
        <x:f>IF(A91="","",IF(OR(B91="",G91="",H91=""),"Incomplete",IF(I91&lt;0,"Overpaid",IF(I91&gt;0,IF(H91=0,"Unpaid","Partial"),IF(OR(K91="",L91=""),"Add paid details","Paid")))))</x:f>
      </x:c>
      <x:c r="K91" s="13"/>
      <x:c r="L91" s="4"/>
      <x:c r="M91" s="4"/>
      <x:c r="N91" s="4"/>
    </x:row>
    <x:row r="92" ht="23" customHeight="1">
      <x:c r="A92" s="4"/>
      <x:c r="B92" s="13"/>
      <x:c r="C92" s="14" t="str">
        <x:f>IF(B92="","",B92+13)</x:f>
      </x:c>
      <x:c r="D92" s="16"/>
      <x:c r="E92" s="16"/>
      <x:c r="F92" s="16"/>
      <x:c r="G92" s="17" t="str">
        <x:f>IF(OR(A92="",D92="",E92="",F92=""),"",ROUND(D92-E92+F92,2))</x:f>
      </x:c>
      <x:c r="H92" s="16"/>
      <x:c r="I92" s="17" t="str">
        <x:f>IF(OR(G92="",H92=""),"",ROUND(G92-H92,2))</x:f>
      </x:c>
      <x:c r="J92" s="2" t="str">
        <x:f>IF(A92="","",IF(OR(B92="",G92="",H92=""),"Incomplete",IF(I92&lt;0,"Overpaid",IF(I92&gt;0,IF(H92=0,"Unpaid","Partial"),IF(OR(K92="",L92=""),"Add paid details","Paid")))))</x:f>
      </x:c>
      <x:c r="K92" s="13"/>
      <x:c r="L92" s="4"/>
      <x:c r="M92" s="4"/>
      <x:c r="N92" s="4"/>
    </x:row>
    <x:row r="93" ht="23" customHeight="1">
      <x:c r="A93" s="4"/>
      <x:c r="B93" s="13"/>
      <x:c r="C93" s="14" t="str">
        <x:f>IF(B93="","",B93+13)</x:f>
      </x:c>
      <x:c r="D93" s="16"/>
      <x:c r="E93" s="16"/>
      <x:c r="F93" s="16"/>
      <x:c r="G93" s="17" t="str">
        <x:f>IF(OR(A93="",D93="",E93="",F93=""),"",ROUND(D93-E93+F93,2))</x:f>
      </x:c>
      <x:c r="H93" s="16"/>
      <x:c r="I93" s="17" t="str">
        <x:f>IF(OR(G93="",H93=""),"",ROUND(G93-H93,2))</x:f>
      </x:c>
      <x:c r="J93" s="2" t="str">
        <x:f>IF(A93="","",IF(OR(B93="",G93="",H93=""),"Incomplete",IF(I93&lt;0,"Overpaid",IF(I93&gt;0,IF(H93=0,"Unpaid","Partial"),IF(OR(K93="",L93=""),"Add paid details","Paid")))))</x:f>
      </x:c>
      <x:c r="K93" s="13"/>
      <x:c r="L93" s="4"/>
      <x:c r="M93" s="4"/>
      <x:c r="N93" s="4"/>
    </x:row>
    <x:row r="94" ht="23" customHeight="1">
      <x:c r="A94" s="4"/>
      <x:c r="B94" s="13"/>
      <x:c r="C94" s="14" t="str">
        <x:f>IF(B94="","",B94+13)</x:f>
      </x:c>
      <x:c r="D94" s="16"/>
      <x:c r="E94" s="16"/>
      <x:c r="F94" s="16"/>
      <x:c r="G94" s="17" t="str">
        <x:f>IF(OR(A94="",D94="",E94="",F94=""),"",ROUND(D94-E94+F94,2))</x:f>
      </x:c>
      <x:c r="H94" s="16"/>
      <x:c r="I94" s="17" t="str">
        <x:f>IF(OR(G94="",H94=""),"",ROUND(G94-H94,2))</x:f>
      </x:c>
      <x:c r="J94" s="2" t="str">
        <x:f>IF(A94="","",IF(OR(B94="",G94="",H94=""),"Incomplete",IF(I94&lt;0,"Overpaid",IF(I94&gt;0,IF(H94=0,"Unpaid","Partial"),IF(OR(K94="",L94=""),"Add paid details","Paid")))))</x:f>
      </x:c>
      <x:c r="K94" s="13"/>
      <x:c r="L94" s="4"/>
      <x:c r="M94" s="4"/>
      <x:c r="N94" s="4"/>
    </x:row>
    <x:row r="95" ht="23" customHeight="1">
      <x:c r="A95" s="4"/>
      <x:c r="B95" s="13"/>
      <x:c r="C95" s="14" t="str">
        <x:f>IF(B95="","",B95+13)</x:f>
      </x:c>
      <x:c r="D95" s="16"/>
      <x:c r="E95" s="16"/>
      <x:c r="F95" s="16"/>
      <x:c r="G95" s="17" t="str">
        <x:f>IF(OR(A95="",D95="",E95="",F95=""),"",ROUND(D95-E95+F95,2))</x:f>
      </x:c>
      <x:c r="H95" s="16"/>
      <x:c r="I95" s="17" t="str">
        <x:f>IF(OR(G95="",H95=""),"",ROUND(G95-H95,2))</x:f>
      </x:c>
      <x:c r="J95" s="2" t="str">
        <x:f>IF(A95="","",IF(OR(B95="",G95="",H95=""),"Incomplete",IF(I95&lt;0,"Overpaid",IF(I95&gt;0,IF(H95=0,"Unpaid","Partial"),IF(OR(K95="",L95=""),"Add paid details","Paid")))))</x:f>
      </x:c>
      <x:c r="K95" s="13"/>
      <x:c r="L95" s="4"/>
      <x:c r="M95" s="4"/>
      <x:c r="N95" s="4"/>
    </x:row>
    <x:row r="96" ht="23" customHeight="1">
      <x:c r="A96" s="4"/>
      <x:c r="B96" s="13"/>
      <x:c r="C96" s="14" t="str">
        <x:f>IF(B96="","",B96+13)</x:f>
      </x:c>
      <x:c r="D96" s="16"/>
      <x:c r="E96" s="16"/>
      <x:c r="F96" s="16"/>
      <x:c r="G96" s="17" t="str">
        <x:f>IF(OR(A96="",D96="",E96="",F96=""),"",ROUND(D96-E96+F96,2))</x:f>
      </x:c>
      <x:c r="H96" s="16"/>
      <x:c r="I96" s="17" t="str">
        <x:f>IF(OR(G96="",H96=""),"",ROUND(G96-H96,2))</x:f>
      </x:c>
      <x:c r="J96" s="2" t="str">
        <x:f>IF(A96="","",IF(OR(B96="",G96="",H96=""),"Incomplete",IF(I96&lt;0,"Overpaid",IF(I96&gt;0,IF(H96=0,"Unpaid","Partial"),IF(OR(K96="",L96=""),"Add paid details","Paid")))))</x:f>
      </x:c>
      <x:c r="K96" s="13"/>
      <x:c r="L96" s="4"/>
      <x:c r="M96" s="4"/>
      <x:c r="N96" s="4"/>
    </x:row>
    <x:row r="97" ht="23" customHeight="1">
      <x:c r="A97" s="4"/>
      <x:c r="B97" s="13"/>
      <x:c r="C97" s="14" t="str">
        <x:f>IF(B97="","",B97+13)</x:f>
      </x:c>
      <x:c r="D97" s="16"/>
      <x:c r="E97" s="16"/>
      <x:c r="F97" s="16"/>
      <x:c r="G97" s="17" t="str">
        <x:f>IF(OR(A97="",D97="",E97="",F97=""),"",ROUND(D97-E97+F97,2))</x:f>
      </x:c>
      <x:c r="H97" s="16"/>
      <x:c r="I97" s="17" t="str">
        <x:f>IF(OR(G97="",H97=""),"",ROUND(G97-H97,2))</x:f>
      </x:c>
      <x:c r="J97" s="2" t="str">
        <x:f>IF(A97="","",IF(OR(B97="",G97="",H97=""),"Incomplete",IF(I97&lt;0,"Overpaid",IF(I97&gt;0,IF(H97=0,"Unpaid","Partial"),IF(OR(K97="",L97=""),"Add paid details","Paid")))))</x:f>
      </x:c>
      <x:c r="K97" s="13"/>
      <x:c r="L97" s="4"/>
      <x:c r="M97" s="4"/>
      <x:c r="N97" s="4"/>
    </x:row>
    <x:row r="98" ht="23" customHeight="1">
      <x:c r="A98" s="4"/>
      <x:c r="B98" s="13"/>
      <x:c r="C98" s="14" t="str">
        <x:f>IF(B98="","",B98+13)</x:f>
      </x:c>
      <x:c r="D98" s="16"/>
      <x:c r="E98" s="16"/>
      <x:c r="F98" s="16"/>
      <x:c r="G98" s="17" t="str">
        <x:f>IF(OR(A98="",D98="",E98="",F98=""),"",ROUND(D98-E98+F98,2))</x:f>
      </x:c>
      <x:c r="H98" s="16"/>
      <x:c r="I98" s="17" t="str">
        <x:f>IF(OR(G98="",H98=""),"",ROUND(G98-H98,2))</x:f>
      </x:c>
      <x:c r="J98" s="2" t="str">
        <x:f>IF(A98="","",IF(OR(B98="",G98="",H98=""),"Incomplete",IF(I98&lt;0,"Overpaid",IF(I98&gt;0,IF(H98=0,"Unpaid","Partial"),IF(OR(K98="",L98=""),"Add paid details","Paid")))))</x:f>
      </x:c>
      <x:c r="K98" s="13"/>
      <x:c r="L98" s="4"/>
      <x:c r="M98" s="4"/>
      <x:c r="N98" s="4"/>
    </x:row>
    <x:row r="99" ht="23" customHeight="1">
      <x:c r="A99" s="4"/>
      <x:c r="B99" s="13"/>
      <x:c r="C99" s="14" t="str">
        <x:f>IF(B99="","",B99+13)</x:f>
      </x:c>
      <x:c r="D99" s="16"/>
      <x:c r="E99" s="16"/>
      <x:c r="F99" s="16"/>
      <x:c r="G99" s="17" t="str">
        <x:f>IF(OR(A99="",D99="",E99="",F99=""),"",ROUND(D99-E99+F99,2))</x:f>
      </x:c>
      <x:c r="H99" s="16"/>
      <x:c r="I99" s="17" t="str">
        <x:f>IF(OR(G99="",H99=""),"",ROUND(G99-H99,2))</x:f>
      </x:c>
      <x:c r="J99" s="2" t="str">
        <x:f>IF(A99="","",IF(OR(B99="",G99="",H99=""),"Incomplete",IF(I99&lt;0,"Overpaid",IF(I99&gt;0,IF(H99=0,"Unpaid","Partial"),IF(OR(K99="",L99=""),"Add paid details","Paid")))))</x:f>
      </x:c>
      <x:c r="K99" s="13"/>
      <x:c r="L99" s="4"/>
      <x:c r="M99" s="4"/>
      <x:c r="N99" s="4"/>
    </x:row>
    <x:row r="100" ht="23" customHeight="1">
      <x:c r="A100" s="4"/>
      <x:c r="B100" s="13"/>
      <x:c r="C100" s="14" t="str">
        <x:f>IF(B100="","",B100+13)</x:f>
      </x:c>
      <x:c r="D100" s="16"/>
      <x:c r="E100" s="16"/>
      <x:c r="F100" s="16"/>
      <x:c r="G100" s="17" t="str">
        <x:f>IF(OR(A100="",D100="",E100="",F100=""),"",ROUND(D100-E100+F100,2))</x:f>
      </x:c>
      <x:c r="H100" s="16"/>
      <x:c r="I100" s="17" t="str">
        <x:f>IF(OR(G100="",H100=""),"",ROUND(G100-H100,2))</x:f>
      </x:c>
      <x:c r="J100" s="2" t="str">
        <x:f>IF(A100="","",IF(OR(B100="",G100="",H100=""),"Incomplete",IF(I100&lt;0,"Overpaid",IF(I100&gt;0,IF(H100=0,"Unpaid","Partial"),IF(OR(K100="",L100=""),"Add paid details","Paid")))))</x:f>
      </x:c>
      <x:c r="K100" s="13"/>
      <x:c r="L100" s="4"/>
      <x:c r="M100" s="4"/>
      <x:c r="N100" s="4"/>
    </x:row>
    <x:row r="101" ht="23" customHeight="1">
      <x:c r="A101" s="4"/>
      <x:c r="B101" s="13"/>
      <x:c r="C101" s="14" t="str">
        <x:f>IF(B101="","",B101+13)</x:f>
      </x:c>
      <x:c r="D101" s="16"/>
      <x:c r="E101" s="16"/>
      <x:c r="F101" s="16"/>
      <x:c r="G101" s="17" t="str">
        <x:f>IF(OR(A101="",D101="",E101="",F101=""),"",ROUND(D101-E101+F101,2))</x:f>
      </x:c>
      <x:c r="H101" s="16"/>
      <x:c r="I101" s="17" t="str">
        <x:f>IF(OR(G101="",H101=""),"",ROUND(G101-H101,2))</x:f>
      </x:c>
      <x:c r="J101" s="2" t="str">
        <x:f>IF(A101="","",IF(OR(B101="",G101="",H101=""),"Incomplete",IF(I101&lt;0,"Overpaid",IF(I101&gt;0,IF(H101=0,"Unpaid","Partial"),IF(OR(K101="",L101=""),"Add paid details","Paid")))))</x:f>
      </x:c>
      <x:c r="K101" s="13"/>
      <x:c r="L101" s="4"/>
      <x:c r="M101" s="4"/>
      <x:c r="N101" s="4"/>
    </x:row>
    <x:row r="102" ht="23" customHeight="1">
      <x:c r="A102" s="4"/>
      <x:c r="B102" s="13"/>
      <x:c r="C102" s="14" t="str">
        <x:f>IF(B102="","",B102+13)</x:f>
      </x:c>
      <x:c r="D102" s="16"/>
      <x:c r="E102" s="16"/>
      <x:c r="F102" s="16"/>
      <x:c r="G102" s="17" t="str">
        <x:f>IF(OR(A102="",D102="",E102="",F102=""),"",ROUND(D102-E102+F102,2))</x:f>
      </x:c>
      <x:c r="H102" s="16"/>
      <x:c r="I102" s="17" t="str">
        <x:f>IF(OR(G102="",H102=""),"",ROUND(G102-H102,2))</x:f>
      </x:c>
      <x:c r="J102" s="2" t="str">
        <x:f>IF(A102="","",IF(OR(B102="",G102="",H102=""),"Incomplete",IF(I102&lt;0,"Overpaid",IF(I102&gt;0,IF(H102=0,"Unpaid","Partial"),IF(OR(K102="",L102=""),"Add paid details","Paid")))))</x:f>
      </x:c>
      <x:c r="K102" s="13"/>
      <x:c r="L102" s="4"/>
      <x:c r="M102" s="4"/>
      <x:c r="N102" s="4"/>
    </x:row>
    <x:row r="103" ht="23" customHeight="1">
      <x:c r="A103" s="4"/>
      <x:c r="B103" s="13"/>
      <x:c r="C103" s="14" t="str">
        <x:f>IF(B103="","",B103+13)</x:f>
      </x:c>
      <x:c r="D103" s="16"/>
      <x:c r="E103" s="16"/>
      <x:c r="F103" s="16"/>
      <x:c r="G103" s="17" t="str">
        <x:f>IF(OR(A103="",D103="",E103="",F103=""),"",ROUND(D103-E103+F103,2))</x:f>
      </x:c>
      <x:c r="H103" s="16"/>
      <x:c r="I103" s="17" t="str">
        <x:f>IF(OR(G103="",H103=""),"",ROUND(G103-H103,2))</x:f>
      </x:c>
      <x:c r="J103" s="2" t="str">
        <x:f>IF(A103="","",IF(OR(B103="",G103="",H103=""),"Incomplete",IF(I103&lt;0,"Overpaid",IF(I103&gt;0,IF(H103=0,"Unpaid","Partial"),IF(OR(K103="",L103=""),"Add paid details","Paid")))))</x:f>
      </x:c>
      <x:c r="K103" s="13"/>
      <x:c r="L103" s="4"/>
      <x:c r="M103" s="4"/>
      <x:c r="N103" s="4"/>
    </x:row>
    <x:row r="104" ht="23" customHeight="1">
      <x:c r="A104" s="4"/>
      <x:c r="B104" s="13"/>
      <x:c r="C104" s="14" t="str">
        <x:f>IF(B104="","",B104+13)</x:f>
      </x:c>
      <x:c r="D104" s="16"/>
      <x:c r="E104" s="16"/>
      <x:c r="F104" s="16"/>
      <x:c r="G104" s="17" t="str">
        <x:f>IF(OR(A104="",D104="",E104="",F104=""),"",ROUND(D104-E104+F104,2))</x:f>
      </x:c>
      <x:c r="H104" s="16"/>
      <x:c r="I104" s="17" t="str">
        <x:f>IF(OR(G104="",H104=""),"",ROUND(G104-H104,2))</x:f>
      </x:c>
      <x:c r="J104" s="2" t="str">
        <x:f>IF(A104="","",IF(OR(B104="",G104="",H104=""),"Incomplete",IF(I104&lt;0,"Overpaid",IF(I104&gt;0,IF(H104=0,"Unpaid","Partial"),IF(OR(K104="",L104=""),"Add paid details","Paid")))))</x:f>
      </x:c>
      <x:c r="K104" s="13"/>
      <x:c r="L104" s="4"/>
      <x:c r="M104" s="4"/>
      <x:c r="N104" s="4"/>
    </x:row>
    <x:row r="105" ht="23" customHeight="1">
      <x:c r="A105" s="4"/>
      <x:c r="B105" s="13"/>
      <x:c r="C105" s="14" t="str">
        <x:f>IF(B105="","",B105+13)</x:f>
      </x:c>
      <x:c r="D105" s="16"/>
      <x:c r="E105" s="16"/>
      <x:c r="F105" s="16"/>
      <x:c r="G105" s="17" t="str">
        <x:f>IF(OR(A105="",D105="",E105="",F105=""),"",ROUND(D105-E105+F105,2))</x:f>
      </x:c>
      <x:c r="H105" s="16"/>
      <x:c r="I105" s="17" t="str">
        <x:f>IF(OR(G105="",H105=""),"",ROUND(G105-H105,2))</x:f>
      </x:c>
      <x:c r="J105" s="2" t="str">
        <x:f>IF(A105="","",IF(OR(B105="",G105="",H105=""),"Incomplete",IF(I105&lt;0,"Overpaid",IF(I105&gt;0,IF(H105=0,"Unpaid","Partial"),IF(OR(K105="",L105=""),"Add paid details","Paid")))))</x:f>
      </x:c>
      <x:c r="K105" s="13"/>
      <x:c r="L105" s="4"/>
      <x:c r="M105" s="4"/>
      <x:c r="N105" s="4"/>
    </x:row>
    <x:row r="106" ht="23" customHeight="1">
      <x:c r="A106" s="4"/>
      <x:c r="B106" s="13"/>
      <x:c r="C106" s="14" t="str">
        <x:f>IF(B106="","",B106+13)</x:f>
      </x:c>
      <x:c r="D106" s="16"/>
      <x:c r="E106" s="16"/>
      <x:c r="F106" s="16"/>
      <x:c r="G106" s="17" t="str">
        <x:f>IF(OR(A106="",D106="",E106="",F106=""),"",ROUND(D106-E106+F106,2))</x:f>
      </x:c>
      <x:c r="H106" s="16"/>
      <x:c r="I106" s="17" t="str">
        <x:f>IF(OR(G106="",H106=""),"",ROUND(G106-H106,2))</x:f>
      </x:c>
      <x:c r="J106" s="2" t="str">
        <x:f>IF(A106="","",IF(OR(B106="",G106="",H106=""),"Incomplete",IF(I106&lt;0,"Overpaid",IF(I106&gt;0,IF(H106=0,"Unpaid","Partial"),IF(OR(K106="",L106=""),"Add paid details","Paid")))))</x:f>
      </x:c>
      <x:c r="K106" s="13"/>
      <x:c r="L106" s="4"/>
      <x:c r="M106" s="4"/>
      <x:c r="N106" s="4"/>
    </x:row>
    <x:row r="107" ht="23" customHeight="1">
      <x:c r="A107" s="4"/>
      <x:c r="B107" s="13"/>
      <x:c r="C107" s="14" t="str">
        <x:f>IF(B107="","",B107+13)</x:f>
      </x:c>
      <x:c r="D107" s="16"/>
      <x:c r="E107" s="16"/>
      <x:c r="F107" s="16"/>
      <x:c r="G107" s="17" t="str">
        <x:f>IF(OR(A107="",D107="",E107="",F107=""),"",ROUND(D107-E107+F107,2))</x:f>
      </x:c>
      <x:c r="H107" s="16"/>
      <x:c r="I107" s="17" t="str">
        <x:f>IF(OR(G107="",H107=""),"",ROUND(G107-H107,2))</x:f>
      </x:c>
      <x:c r="J107" s="2" t="str">
        <x:f>IF(A107="","",IF(OR(B107="",G107="",H107=""),"Incomplete",IF(I107&lt;0,"Overpaid",IF(I107&gt;0,IF(H107=0,"Unpaid","Partial"),IF(OR(K107="",L107=""),"Add paid details","Paid")))))</x:f>
      </x:c>
      <x:c r="K107" s="13"/>
      <x:c r="L107" s="4"/>
      <x:c r="M107" s="4"/>
      <x:c r="N107" s="4"/>
    </x:row>
    <x:row r="108" ht="23" customHeight="1">
      <x:c r="A108" s="4"/>
      <x:c r="B108" s="13"/>
      <x:c r="C108" s="14" t="str">
        <x:f>IF(B108="","",B108+13)</x:f>
      </x:c>
      <x:c r="D108" s="16"/>
      <x:c r="E108" s="16"/>
      <x:c r="F108" s="16"/>
      <x:c r="G108" s="17" t="str">
        <x:f>IF(OR(A108="",D108="",E108="",F108=""),"",ROUND(D108-E108+F108,2))</x:f>
      </x:c>
      <x:c r="H108" s="16"/>
      <x:c r="I108" s="17" t="str">
        <x:f>IF(OR(G108="",H108=""),"",ROUND(G108-H108,2))</x:f>
      </x:c>
      <x:c r="J108" s="2" t="str">
        <x:f>IF(A108="","",IF(OR(B108="",G108="",H108=""),"Incomplete",IF(I108&lt;0,"Overpaid",IF(I108&gt;0,IF(H108=0,"Unpaid","Partial"),IF(OR(K108="",L108=""),"Add paid details","Paid")))))</x:f>
      </x:c>
      <x:c r="K108" s="13"/>
      <x:c r="L108" s="4"/>
      <x:c r="M108" s="4"/>
      <x:c r="N108" s="4"/>
    </x:row>
    <x:row r="109" ht="23" customHeight="1">
      <x:c r="A109" s="4"/>
      <x:c r="B109" s="13"/>
      <x:c r="C109" s="14" t="str">
        <x:f>IF(B109="","",B109+13)</x:f>
      </x:c>
      <x:c r="D109" s="16"/>
      <x:c r="E109" s="16"/>
      <x:c r="F109" s="16"/>
      <x:c r="G109" s="17" t="str">
        <x:f>IF(OR(A109="",D109="",E109="",F109=""),"",ROUND(D109-E109+F109,2))</x:f>
      </x:c>
      <x:c r="H109" s="16"/>
      <x:c r="I109" s="17" t="str">
        <x:f>IF(OR(G109="",H109=""),"",ROUND(G109-H109,2))</x:f>
      </x:c>
      <x:c r="J109" s="2" t="str">
        <x:f>IF(A109="","",IF(OR(B109="",G109="",H109=""),"Incomplete",IF(I109&lt;0,"Overpaid",IF(I109&gt;0,IF(H109=0,"Unpaid","Partial"),IF(OR(K109="",L109=""),"Add paid details","Paid")))))</x:f>
      </x:c>
      <x:c r="K109" s="13"/>
      <x:c r="L109" s="4"/>
      <x:c r="M109" s="4"/>
      <x:c r="N109" s="4"/>
    </x:row>
    <x:row r="110" ht="23" customHeight="1">
      <x:c r="A110" s="4"/>
      <x:c r="B110" s="13"/>
      <x:c r="C110" s="14" t="str">
        <x:f>IF(B110="","",B110+13)</x:f>
      </x:c>
      <x:c r="D110" s="16"/>
      <x:c r="E110" s="16"/>
      <x:c r="F110" s="16"/>
      <x:c r="G110" s="17" t="str">
        <x:f>IF(OR(A110="",D110="",E110="",F110=""),"",ROUND(D110-E110+F110,2))</x:f>
      </x:c>
      <x:c r="H110" s="16"/>
      <x:c r="I110" s="17" t="str">
        <x:f>IF(OR(G110="",H110=""),"",ROUND(G110-H110,2))</x:f>
      </x:c>
      <x:c r="J110" s="2" t="str">
        <x:f>IF(A110="","",IF(OR(B110="",G110="",H110=""),"Incomplete",IF(I110&lt;0,"Overpaid",IF(I110&gt;0,IF(H110=0,"Unpaid","Partial"),IF(OR(K110="",L110=""),"Add paid details","Paid")))))</x:f>
      </x:c>
      <x:c r="K110" s="13"/>
      <x:c r="L110" s="4"/>
      <x:c r="M110" s="4"/>
      <x:c r="N110" s="4"/>
    </x:row>
    <x:row r="111">
      <x:c r="A111" s="25"/>
      <x:c r="B111" s="26"/>
      <x:c r="C111" s="27" t="str">
        <x:f>IF(B111="","",B111+13)</x:f>
      </x:c>
      <x:c r="D111" s="28"/>
      <x:c r="E111" s="28"/>
      <x:c r="F111" s="28"/>
      <x:c r="G111" s="29" t="str">
        <x:f>IF(OR(A111="",D111="",E111="",F111=""),"",ROUND(D111-E111+F111,2))</x:f>
      </x:c>
      <x:c r="H111" s="28"/>
      <x:c r="I111" s="29" t="str">
        <x:f>IF(OR(G111="",H111=""),"",ROUND(G111-H111,2))</x:f>
      </x:c>
      <x:c r="J111" t="str">
        <x:f>IF(A111="","",IF(OR(B111="",G111="",H111=""),"Incomplete",IF(I111&lt;0,"Overpaid",IF(I111&gt;0,IF(H111=0,"Unpaid","Partial"),IF(OR(K111="",L111=""),"Add paid details","Paid")))))</x:f>
      </x:c>
      <x:c r="K111" s="26"/>
      <x:c r="L111" s="25"/>
      <x:c r="M111" s="25"/>
      <x:c r="N111" s="25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" priority="1" operator="containsText" text="Unpaid"/>
    <x:cfRule type="containsText" dxfId="2" priority="2" operator="containsText" text="Partial"/>
  </x:conditionalFormatting>
  <x:dataValidations count="1">
    <x:dataValidation type="list" sqref="L12:L111">
      <x:formula1>"Direct deposit,Check,Cash,Other"</x:formula1>
    </x:dataValidation>
  </x:dataValidations>
  <x:pageMargins left="0.7" right="0.7" top="0.75" bottom="0.75" header="0.3" footer="0.3"/>
  <x:drawing xmlns:r="http://schemas.openxmlformats.org/officeDocument/2006/relationships" r:id="R6b4a3c4141704354"/>
  <x:tableParts count="1">
    <x:tablePart xmlns:r="http://schemas.openxmlformats.org/officeDocument/2006/relationships" r:id="R87fd7767b49d444a"/>
  </x:tableParts>
</x:worksheet>
</file>